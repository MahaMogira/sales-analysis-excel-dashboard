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Data Analysis\Data analysis\New folder\"/>
    </mc:Choice>
  </mc:AlternateContent>
  <bookViews>
    <workbookView xWindow="0" yWindow="0" windowWidth="23040" windowHeight="8448" firstSheet="1" activeTab="1"/>
  </bookViews>
  <sheets>
    <sheet name="البيانات النظيفة" sheetId="1" r:id="rId1"/>
    <sheet name="المبيعات الشهرية" sheetId="4" r:id="rId2"/>
    <sheet name="الأداء حسب فئة المنتج" sheetId="2" r:id="rId3"/>
    <sheet name="مقارنة قنوات البيع" sheetId="3" r:id="rId4"/>
    <sheet name="تحليل المناطق" sheetId="5" r:id="rId5"/>
    <sheet name="نوع العميل وسلوكه" sheetId="6" r:id="rId6"/>
    <sheet name="لوحة التحكم" sheetId="10" r:id="rId7"/>
    <sheet name="الرؤى والتوصيات" sheetId="11" r:id="rId8"/>
  </sheets>
  <definedNames>
    <definedName name="Slicer_Category">#N/A</definedName>
    <definedName name="Slicer_Month">#N/A</definedName>
    <definedName name="Slicer_Sales_Channel">#N/A</definedName>
  </definedNames>
  <calcPr calcId="152511"/>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U15" i="1" l="1"/>
  <c r="V11" i="1"/>
  <c r="V10" i="1"/>
  <c r="V8" i="1"/>
  <c r="V7" i="1"/>
  <c r="V6" i="1"/>
  <c r="N8" i="11" s="1"/>
  <c r="V4" i="1"/>
  <c r="N6" i="11" s="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N2" i="1"/>
  <c r="O2" i="1" s="1"/>
  <c r="N3" i="1"/>
  <c r="O3" i="1" s="1"/>
  <c r="N4" i="1"/>
  <c r="O4" i="1" s="1"/>
  <c r="N5" i="1"/>
  <c r="O5" i="1" s="1"/>
  <c r="N6" i="1"/>
  <c r="O6" i="1" s="1"/>
  <c r="N7" i="1"/>
  <c r="O7" i="1" s="1"/>
  <c r="N8" i="1"/>
  <c r="O8" i="1" s="1"/>
  <c r="N9" i="1"/>
  <c r="O9" i="1" s="1"/>
  <c r="N10" i="1"/>
  <c r="O10" i="1" s="1"/>
  <c r="N11" i="1"/>
  <c r="O11" i="1" s="1"/>
  <c r="N12" i="1"/>
  <c r="O12" i="1" s="1"/>
  <c r="N13" i="1"/>
  <c r="O13" i="1" s="1"/>
  <c r="N14" i="1"/>
  <c r="O14" i="1" s="1"/>
  <c r="N15" i="1"/>
  <c r="O15" i="1" s="1"/>
  <c r="N16" i="1"/>
  <c r="O16" i="1" s="1"/>
  <c r="N17" i="1"/>
  <c r="O17" i="1" s="1"/>
  <c r="N18" i="1"/>
  <c r="O18" i="1" s="1"/>
  <c r="N19" i="1"/>
  <c r="O19" i="1" s="1"/>
  <c r="N20" i="1"/>
  <c r="O20" i="1" s="1"/>
  <c r="N21" i="1"/>
  <c r="O21" i="1" s="1"/>
  <c r="N22" i="1"/>
  <c r="O22" i="1" s="1"/>
  <c r="N23" i="1"/>
  <c r="O23" i="1" s="1"/>
  <c r="N24" i="1"/>
  <c r="O24" i="1" s="1"/>
  <c r="N25" i="1"/>
  <c r="O25" i="1" s="1"/>
  <c r="N26" i="1"/>
  <c r="O26" i="1" s="1"/>
  <c r="N27" i="1"/>
  <c r="O27" i="1" s="1"/>
  <c r="N28" i="1"/>
  <c r="O28" i="1" s="1"/>
  <c r="N29" i="1"/>
  <c r="O29" i="1" s="1"/>
  <c r="N30" i="1"/>
  <c r="O30" i="1" s="1"/>
  <c r="N31" i="1"/>
  <c r="O31" i="1" s="1"/>
  <c r="N32" i="1"/>
  <c r="O32" i="1" s="1"/>
  <c r="N33" i="1"/>
  <c r="O33" i="1" s="1"/>
  <c r="N34" i="1"/>
  <c r="O34" i="1" s="1"/>
  <c r="N35" i="1"/>
  <c r="O35" i="1" s="1"/>
  <c r="N36" i="1"/>
  <c r="O36" i="1" s="1"/>
  <c r="N37" i="1"/>
  <c r="O37" i="1" s="1"/>
  <c r="N38" i="1"/>
  <c r="O38" i="1" s="1"/>
  <c r="N39" i="1"/>
  <c r="O39" i="1" s="1"/>
  <c r="N40" i="1"/>
  <c r="O40" i="1" s="1"/>
  <c r="N41" i="1"/>
  <c r="O41" i="1" s="1"/>
  <c r="N42" i="1"/>
  <c r="O42" i="1" s="1"/>
  <c r="N43" i="1"/>
  <c r="O43" i="1" s="1"/>
  <c r="N44" i="1"/>
  <c r="O44" i="1" s="1"/>
  <c r="N45" i="1"/>
  <c r="O45" i="1" s="1"/>
  <c r="N46" i="1"/>
  <c r="O46" i="1" s="1"/>
  <c r="N47" i="1"/>
  <c r="O47" i="1" s="1"/>
  <c r="N48" i="1"/>
  <c r="O48" i="1" s="1"/>
  <c r="N49" i="1"/>
  <c r="O49" i="1" s="1"/>
  <c r="N50" i="1"/>
  <c r="O50" i="1" s="1"/>
  <c r="N51" i="1"/>
  <c r="O51" i="1" s="1"/>
  <c r="N52" i="1"/>
  <c r="O52" i="1" s="1"/>
  <c r="N53" i="1"/>
  <c r="O53" i="1" s="1"/>
  <c r="N54" i="1"/>
  <c r="O54" i="1" s="1"/>
  <c r="N55" i="1"/>
  <c r="O55" i="1" s="1"/>
  <c r="N56" i="1"/>
  <c r="O56" i="1" s="1"/>
  <c r="N57" i="1"/>
  <c r="O57" i="1" s="1"/>
  <c r="N58" i="1"/>
  <c r="O58" i="1" s="1"/>
  <c r="N59" i="1"/>
  <c r="O59" i="1" s="1"/>
  <c r="N60" i="1"/>
  <c r="O60" i="1" s="1"/>
  <c r="N61" i="1"/>
  <c r="O61" i="1" s="1"/>
  <c r="N62" i="1"/>
  <c r="O62" i="1" s="1"/>
  <c r="N63" i="1"/>
  <c r="O63" i="1" s="1"/>
  <c r="N64" i="1"/>
  <c r="O64" i="1" s="1"/>
  <c r="N65" i="1"/>
  <c r="O65" i="1" s="1"/>
  <c r="N66" i="1"/>
  <c r="O66" i="1" s="1"/>
  <c r="N67" i="1"/>
  <c r="O67" i="1" s="1"/>
  <c r="N68" i="1"/>
  <c r="O68" i="1" s="1"/>
  <c r="N69" i="1"/>
  <c r="O69" i="1" s="1"/>
  <c r="N70" i="1"/>
  <c r="O70" i="1" s="1"/>
  <c r="N71" i="1"/>
  <c r="O71" i="1" s="1"/>
  <c r="N72" i="1"/>
  <c r="O72" i="1" s="1"/>
  <c r="N73" i="1"/>
  <c r="O73" i="1" s="1"/>
  <c r="N74" i="1"/>
  <c r="O74" i="1" s="1"/>
  <c r="N75" i="1"/>
  <c r="O75" i="1" s="1"/>
  <c r="N76" i="1"/>
  <c r="O76" i="1" s="1"/>
  <c r="N77" i="1"/>
  <c r="O77" i="1" s="1"/>
  <c r="N78" i="1"/>
  <c r="O78" i="1" s="1"/>
  <c r="N79" i="1"/>
  <c r="O79" i="1" s="1"/>
  <c r="N80" i="1"/>
  <c r="O80" i="1" s="1"/>
  <c r="N81" i="1"/>
  <c r="O81" i="1" s="1"/>
  <c r="N82" i="1"/>
  <c r="O82" i="1" s="1"/>
  <c r="N83" i="1"/>
  <c r="O83" i="1" s="1"/>
  <c r="N84" i="1"/>
  <c r="O84" i="1" s="1"/>
  <c r="N85" i="1"/>
  <c r="O85" i="1" s="1"/>
  <c r="N86" i="1"/>
  <c r="O86" i="1" s="1"/>
  <c r="N87" i="1"/>
  <c r="O87" i="1" s="1"/>
  <c r="N88" i="1"/>
  <c r="O88" i="1" s="1"/>
  <c r="N89" i="1"/>
  <c r="O89" i="1" s="1"/>
  <c r="N90" i="1"/>
  <c r="O90" i="1" s="1"/>
  <c r="N91" i="1"/>
  <c r="O91" i="1" s="1"/>
  <c r="N92" i="1"/>
  <c r="O92" i="1" s="1"/>
  <c r="N93" i="1"/>
  <c r="O93" i="1" s="1"/>
  <c r="N94" i="1"/>
  <c r="O94" i="1" s="1"/>
  <c r="N95" i="1"/>
  <c r="O95" i="1" s="1"/>
  <c r="N96" i="1"/>
  <c r="O96" i="1" s="1"/>
  <c r="N97" i="1"/>
  <c r="O97" i="1" s="1"/>
  <c r="N98" i="1"/>
  <c r="O98" i="1" s="1"/>
  <c r="N99" i="1"/>
  <c r="O99" i="1" s="1"/>
  <c r="N100" i="1"/>
  <c r="O100" i="1" s="1"/>
  <c r="N101" i="1"/>
  <c r="O101" i="1" s="1"/>
  <c r="N102" i="1"/>
  <c r="O102" i="1" s="1"/>
  <c r="N103" i="1"/>
  <c r="O103" i="1" s="1"/>
  <c r="N104" i="1"/>
  <c r="O104" i="1" s="1"/>
  <c r="N105" i="1"/>
  <c r="O105" i="1" s="1"/>
  <c r="N106" i="1"/>
  <c r="O106" i="1" s="1"/>
  <c r="N107" i="1"/>
  <c r="O107" i="1" s="1"/>
  <c r="N108" i="1"/>
  <c r="O108" i="1" s="1"/>
  <c r="N109" i="1"/>
  <c r="O109" i="1" s="1"/>
  <c r="N110" i="1"/>
  <c r="O110" i="1" s="1"/>
  <c r="N111" i="1"/>
  <c r="O111" i="1" s="1"/>
  <c r="N112" i="1"/>
  <c r="O112" i="1" s="1"/>
  <c r="N113" i="1"/>
  <c r="O113" i="1" s="1"/>
  <c r="N114" i="1"/>
  <c r="O114" i="1" s="1"/>
  <c r="N115" i="1"/>
  <c r="O115" i="1" s="1"/>
  <c r="N116" i="1"/>
  <c r="O116" i="1" s="1"/>
  <c r="N117" i="1"/>
  <c r="O117" i="1" s="1"/>
  <c r="N118" i="1"/>
  <c r="O118" i="1" s="1"/>
  <c r="N119" i="1"/>
  <c r="O119" i="1" s="1"/>
  <c r="N120" i="1"/>
  <c r="O120" i="1" s="1"/>
  <c r="N121" i="1"/>
  <c r="O121" i="1" s="1"/>
  <c r="N122" i="1"/>
  <c r="O122" i="1" s="1"/>
  <c r="N123" i="1"/>
  <c r="O123" i="1" s="1"/>
  <c r="N124" i="1"/>
  <c r="O124" i="1" s="1"/>
  <c r="N125" i="1"/>
  <c r="O125" i="1" s="1"/>
  <c r="N126" i="1"/>
  <c r="O126" i="1" s="1"/>
  <c r="N127" i="1"/>
  <c r="O127" i="1" s="1"/>
  <c r="N128" i="1"/>
  <c r="O128" i="1" s="1"/>
  <c r="N129" i="1"/>
  <c r="O129" i="1" s="1"/>
  <c r="N130" i="1"/>
  <c r="O130" i="1" s="1"/>
  <c r="N131" i="1"/>
  <c r="O131" i="1" s="1"/>
  <c r="N132" i="1"/>
  <c r="O132" i="1" s="1"/>
  <c r="N133" i="1"/>
  <c r="O133" i="1" s="1"/>
  <c r="N134" i="1"/>
  <c r="O134" i="1" s="1"/>
  <c r="N135" i="1"/>
  <c r="O135" i="1" s="1"/>
  <c r="N136" i="1"/>
  <c r="O136" i="1" s="1"/>
  <c r="N137" i="1"/>
  <c r="O137" i="1" s="1"/>
  <c r="N138" i="1"/>
  <c r="O138" i="1" s="1"/>
  <c r="N139" i="1"/>
  <c r="O139" i="1" s="1"/>
  <c r="N140" i="1"/>
  <c r="O140" i="1" s="1"/>
  <c r="N141" i="1"/>
  <c r="O141" i="1" s="1"/>
  <c r="N142" i="1"/>
  <c r="O142" i="1" s="1"/>
  <c r="N143" i="1"/>
  <c r="O143" i="1" s="1"/>
  <c r="N144" i="1"/>
  <c r="O144" i="1" s="1"/>
  <c r="N145" i="1"/>
  <c r="O145" i="1" s="1"/>
  <c r="N146" i="1"/>
  <c r="O146" i="1" s="1"/>
  <c r="N147" i="1"/>
  <c r="O147" i="1" s="1"/>
  <c r="N148" i="1"/>
  <c r="O148" i="1" s="1"/>
  <c r="N149" i="1"/>
  <c r="O149" i="1" s="1"/>
  <c r="N150" i="1"/>
  <c r="O150" i="1" s="1"/>
  <c r="N151" i="1"/>
  <c r="O151" i="1" s="1"/>
  <c r="N152" i="1"/>
  <c r="O152" i="1" s="1"/>
  <c r="N153" i="1"/>
  <c r="O153" i="1" s="1"/>
  <c r="N154" i="1"/>
  <c r="O154" i="1" s="1"/>
  <c r="N155" i="1"/>
  <c r="O155" i="1" s="1"/>
  <c r="N156" i="1"/>
  <c r="O156" i="1" s="1"/>
  <c r="N157" i="1"/>
  <c r="O157" i="1" s="1"/>
  <c r="N158" i="1"/>
  <c r="O158" i="1" s="1"/>
  <c r="N159" i="1"/>
  <c r="O159" i="1" s="1"/>
  <c r="N160" i="1"/>
  <c r="O160" i="1" s="1"/>
  <c r="N161" i="1"/>
  <c r="O161" i="1" s="1"/>
  <c r="N162" i="1"/>
  <c r="O162" i="1" s="1"/>
  <c r="N163" i="1"/>
  <c r="O163" i="1" s="1"/>
  <c r="N164" i="1"/>
  <c r="O164" i="1" s="1"/>
  <c r="N165" i="1"/>
  <c r="O165" i="1" s="1"/>
  <c r="N166" i="1"/>
  <c r="O166" i="1" s="1"/>
  <c r="N167" i="1"/>
  <c r="O167" i="1" s="1"/>
  <c r="N168" i="1"/>
  <c r="O168" i="1" s="1"/>
  <c r="N169" i="1"/>
  <c r="O169" i="1" s="1"/>
  <c r="N170" i="1"/>
  <c r="O170" i="1" s="1"/>
  <c r="N171" i="1"/>
  <c r="O171" i="1" s="1"/>
  <c r="N172" i="1"/>
  <c r="O172" i="1" s="1"/>
  <c r="N173" i="1"/>
  <c r="O173" i="1" s="1"/>
  <c r="N174" i="1"/>
  <c r="O174" i="1" s="1"/>
  <c r="N175" i="1"/>
  <c r="O175" i="1" s="1"/>
  <c r="N176" i="1"/>
  <c r="O176" i="1" s="1"/>
  <c r="N177" i="1"/>
  <c r="O177" i="1" s="1"/>
  <c r="N178" i="1"/>
  <c r="O178" i="1" s="1"/>
  <c r="N179" i="1"/>
  <c r="O179" i="1" s="1"/>
  <c r="N180" i="1"/>
  <c r="O180" i="1" s="1"/>
  <c r="N181" i="1"/>
  <c r="O181" i="1" s="1"/>
  <c r="N182" i="1"/>
  <c r="O182" i="1" s="1"/>
  <c r="N183" i="1"/>
  <c r="O183" i="1" s="1"/>
  <c r="N184" i="1"/>
  <c r="O184" i="1" s="1"/>
  <c r="N185" i="1"/>
  <c r="O185" i="1" s="1"/>
  <c r="V9" i="1" l="1"/>
  <c r="N9" i="11" s="1"/>
  <c r="V5" i="1"/>
  <c r="N7" i="11" s="1"/>
</calcChain>
</file>

<file path=xl/sharedStrings.xml><?xml version="1.0" encoding="utf-8"?>
<sst xmlns="http://schemas.openxmlformats.org/spreadsheetml/2006/main" count="1606" uniqueCount="464">
  <si>
    <t>Order ID</t>
  </si>
  <si>
    <t>Order Date</t>
  </si>
  <si>
    <t>Customer Name</t>
  </si>
  <si>
    <t>Region</t>
  </si>
  <si>
    <t>Customer Type</t>
  </si>
  <si>
    <t>Sales Channel</t>
  </si>
  <si>
    <t>Category</t>
  </si>
  <si>
    <t>Product Name</t>
  </si>
  <si>
    <t>Quantity</t>
  </si>
  <si>
    <t>Unit Price</t>
  </si>
  <si>
    <t>Unit Cost</t>
  </si>
  <si>
    <t>Total Sales</t>
  </si>
  <si>
    <t>Order Status</t>
  </si>
  <si>
    <t>ORD-001</t>
  </si>
  <si>
    <t>أحمد محمد</t>
  </si>
  <si>
    <t>الرياض</t>
  </si>
  <si>
    <t>عائد</t>
  </si>
  <si>
    <t>عبر الإنترنت</t>
  </si>
  <si>
    <t>إلكترونيات</t>
  </si>
  <si>
    <t>هاتف ذكي متطور</t>
  </si>
  <si>
    <t>مكتمل</t>
  </si>
  <si>
    <t>ORD-002</t>
  </si>
  <si>
    <t>سارة علي</t>
  </si>
  <si>
    <t>جدة</t>
  </si>
  <si>
    <t>جديدة</t>
  </si>
  <si>
    <t>المعرض</t>
  </si>
  <si>
    <t>ملابس</t>
  </si>
  <si>
    <t>عباءة عصرية</t>
  </si>
  <si>
    <t>ORD-003</t>
  </si>
  <si>
    <t>فهد عبدالله</t>
  </si>
  <si>
    <t>الدمام</t>
  </si>
  <si>
    <t>أجهزة منزلية</t>
  </si>
  <si>
    <t>مكواة بخار</t>
  </si>
  <si>
    <t>ORD-004</t>
  </si>
  <si>
    <t>نورة أحمد</t>
  </si>
  <si>
    <t>سماعة رأس لاسلكية</t>
  </si>
  <si>
    <t>ORD-005</t>
  </si>
  <si>
    <t>خالد سالم</t>
  </si>
  <si>
    <t>مكة</t>
  </si>
  <si>
    <t>مستلزمات المنزل</t>
  </si>
  <si>
    <t>سجادة عصرية</t>
  </si>
  <si>
    <t>ORD-006</t>
  </si>
  <si>
    <t>منى حسن</t>
  </si>
  <si>
    <t>فستان سهرة</t>
  </si>
  <si>
    <t>ORD-007</t>
  </si>
  <si>
    <t>بدر فهد</t>
  </si>
  <si>
    <t>كمبيوتر محمول</t>
  </si>
  <si>
    <t>ORD-008</t>
  </si>
  <si>
    <t>شهد علي</t>
  </si>
  <si>
    <t>مروحة سقف</t>
  </si>
  <si>
    <t>ORD-009</t>
  </si>
  <si>
    <t>محمد علي</t>
  </si>
  <si>
    <t>بدلة رسمية</t>
  </si>
  <si>
    <t>ORD-010</t>
  </si>
  <si>
    <t>ديما سلمان</t>
  </si>
  <si>
    <t>طاولة طعام</t>
  </si>
  <si>
    <t>ORD-011</t>
  </si>
  <si>
    <t>شاحن سريع</t>
  </si>
  <si>
    <t>ORD-012</t>
  </si>
  <si>
    <t>مكنسة كهربائية</t>
  </si>
  <si>
    <t>ORD-013</t>
  </si>
  <si>
    <t>قميص قطني</t>
  </si>
  <si>
    <t>ORD-014</t>
  </si>
  <si>
    <t>ستائر نافذة</t>
  </si>
  <si>
    <t>ORD-015</t>
  </si>
  <si>
    <t>ساعة ذكية</t>
  </si>
  <si>
    <t>ORD-016</t>
  </si>
  <si>
    <t>ثلاجة صغيرة</t>
  </si>
  <si>
    <t>ORD-017</t>
  </si>
  <si>
    <t>حذاء رياضي</t>
  </si>
  <si>
    <t>ORD-018</t>
  </si>
  <si>
    <t>مفرش سرير</t>
  </si>
  <si>
    <t>ORD-019</t>
  </si>
  <si>
    <t>كاميرا رقمية</t>
  </si>
  <si>
    <t>ORD-020</t>
  </si>
  <si>
    <t>غسالة ملابس</t>
  </si>
  <si>
    <t>ORD-021</t>
  </si>
  <si>
    <t>معطف شتوي</t>
  </si>
  <si>
    <t>ORD-022</t>
  </si>
  <si>
    <t>أواني مطبخ</t>
  </si>
  <si>
    <t>ORD-023</t>
  </si>
  <si>
    <t>سماعة أذن</t>
  </si>
  <si>
    <t>ORD-024</t>
  </si>
  <si>
    <t>فرن كهربائي</t>
  </si>
  <si>
    <t>ORD-025</t>
  </si>
  <si>
    <t>ثوب رجالي</t>
  </si>
  <si>
    <t>ORD-026</t>
  </si>
  <si>
    <t>خزانة ملابس</t>
  </si>
  <si>
    <t>ORD-027</t>
  </si>
  <si>
    <t>كمبيوتر لوحي</t>
  </si>
  <si>
    <t>ORD-028</t>
  </si>
  <si>
    <t>مكيف صحراوي</t>
  </si>
  <si>
    <t>ORD-029</t>
  </si>
  <si>
    <t>عباءة رجالية</t>
  </si>
  <si>
    <t>ORD-030</t>
  </si>
  <si>
    <t>مرآة ديكور</t>
  </si>
  <si>
    <t>ORD-031</t>
  </si>
  <si>
    <t>راوتر إنترنت</t>
  </si>
  <si>
    <t>ORD-032</t>
  </si>
  <si>
    <t>خلاط كهربائي</t>
  </si>
  <si>
    <t>ORD-033</t>
  </si>
  <si>
    <t>حقيبة يد</t>
  </si>
  <si>
    <t>ORD-034</t>
  </si>
  <si>
    <t>سجادة صغيرة</t>
  </si>
  <si>
    <t>ORD-035</t>
  </si>
  <si>
    <t>طابعة ليزر</t>
  </si>
  <si>
    <t>ORD-036</t>
  </si>
  <si>
    <t>مبرد مياه</t>
  </si>
  <si>
    <t>ORD-037</t>
  </si>
  <si>
    <t>بنطلون جينز</t>
  </si>
  <si>
    <t>ORD-038</t>
  </si>
  <si>
    <t>مفرش طاولة</t>
  </si>
  <si>
    <t>ORD-039</t>
  </si>
  <si>
    <t>فلاش ميموري</t>
  </si>
  <si>
    <t>ORD-040</t>
  </si>
  <si>
    <t>ميكروويف</t>
  </si>
  <si>
    <t>ORD-041</t>
  </si>
  <si>
    <t>قميص نوم</t>
  </si>
  <si>
    <t>ORD-042</t>
  </si>
  <si>
    <t>وسادة طبية</t>
  </si>
  <si>
    <t>ORD-043</t>
  </si>
  <si>
    <t>كابل شحن</t>
  </si>
  <si>
    <t>ORD-044</t>
  </si>
  <si>
    <t>مكواة ملابس</t>
  </si>
  <si>
    <t>ORD-045</t>
  </si>
  <si>
    <t>حذاء رسمي</t>
  </si>
  <si>
    <t>ORD-046</t>
  </si>
  <si>
    <t>رف جداري</t>
  </si>
  <si>
    <t>ORD-047</t>
  </si>
  <si>
    <t>شاشة حاسوب</t>
  </si>
  <si>
    <t>ORD-048</t>
  </si>
  <si>
    <t>مروحة يدوية</t>
  </si>
  <si>
    <t>ORD-049</t>
  </si>
  <si>
    <t>وشاح قطني</t>
  </si>
  <si>
    <t>ORD-050</t>
  </si>
  <si>
    <t>سلة ملابس</t>
  </si>
  <si>
    <t>ORD-051</t>
  </si>
  <si>
    <t>سماعة رأس</t>
  </si>
  <si>
    <t>ORD-052</t>
  </si>
  <si>
    <t>محمصة خبز</t>
  </si>
  <si>
    <t>ORD-053</t>
  </si>
  <si>
    <t>جاكيت جلدي</t>
  </si>
  <si>
    <t>ORD-054</t>
  </si>
  <si>
    <t>شموع ديكور</t>
  </si>
  <si>
    <t>ORD-055</t>
  </si>
  <si>
    <t>لوحة مفاتيح</t>
  </si>
  <si>
    <t>ORD-056</t>
  </si>
  <si>
    <t>غلاية ماء</t>
  </si>
  <si>
    <t>ORD-057</t>
  </si>
  <si>
    <t>ORD-058</t>
  </si>
  <si>
    <t>طاولة قهوة</t>
  </si>
  <si>
    <t>ORD-059</t>
  </si>
  <si>
    <t>فأرة حاسوب</t>
  </si>
  <si>
    <t>ORD-060</t>
  </si>
  <si>
    <t>مكيف جداري</t>
  </si>
  <si>
    <t>ORD-061</t>
  </si>
  <si>
    <t>عباءة نسائية</t>
  </si>
  <si>
    <t>ORD-062</t>
  </si>
  <si>
    <t>سجادة صالة</t>
  </si>
  <si>
    <t>ORD-063</t>
  </si>
  <si>
    <t>كاميرا مراقبة</t>
  </si>
  <si>
    <t>ORD-064</t>
  </si>
  <si>
    <t>ثلاجة كبيرة</t>
  </si>
  <si>
    <t>ORD-065</t>
  </si>
  <si>
    <t>بدلة عمل</t>
  </si>
  <si>
    <t>ORD-066</t>
  </si>
  <si>
    <t>أرفف مطبخ</t>
  </si>
  <si>
    <t>ORD-067</t>
  </si>
  <si>
    <t>جهاز عرض</t>
  </si>
  <si>
    <t>ORD-068</t>
  </si>
  <si>
    <t>غسالة أطباق</t>
  </si>
  <si>
    <t>ORD-069</t>
  </si>
  <si>
    <t>ORD-070</t>
  </si>
  <si>
    <t>خزانة أحذية</t>
  </si>
  <si>
    <t>ORD-071</t>
  </si>
  <si>
    <t>هاتف ذكي</t>
  </si>
  <si>
    <t>ORD-072</t>
  </si>
  <si>
    <t>ORD-073</t>
  </si>
  <si>
    <t>حقيبة سفر</t>
  </si>
  <si>
    <t>ORD-074</t>
  </si>
  <si>
    <t>ستائر باب</t>
  </si>
  <si>
    <t>ORD-075</t>
  </si>
  <si>
    <t>ORD-076</t>
  </si>
  <si>
    <t>ORD-077</t>
  </si>
  <si>
    <t>ORD-078</t>
  </si>
  <si>
    <t>ORD-079</t>
  </si>
  <si>
    <t>ORD-080</t>
  </si>
  <si>
    <t>ORD-081</t>
  </si>
  <si>
    <t>ORD-082</t>
  </si>
  <si>
    <t>أواني طعام</t>
  </si>
  <si>
    <t>ORD-083</t>
  </si>
  <si>
    <t>سماعة لاسلكية</t>
  </si>
  <si>
    <t>ORD-084</t>
  </si>
  <si>
    <t>ORD-085</t>
  </si>
  <si>
    <t>ORD-086</t>
  </si>
  <si>
    <t>طاولة جانبية</t>
  </si>
  <si>
    <t>ORD-087</t>
  </si>
  <si>
    <t>ORD-088</t>
  </si>
  <si>
    <t>ORD-089</t>
  </si>
  <si>
    <t>قميص رسمي</t>
  </si>
  <si>
    <t>ORD-090</t>
  </si>
  <si>
    <t>مرآة حائط</t>
  </si>
  <si>
    <t>ORD-091</t>
  </si>
  <si>
    <t>راوتر سريع</t>
  </si>
  <si>
    <t>ORD-092</t>
  </si>
  <si>
    <t>خلاط متعدد الوظائف</t>
  </si>
  <si>
    <t>ORD-093</t>
  </si>
  <si>
    <t>بنطلون رسمي</t>
  </si>
  <si>
    <t>ORD-094</t>
  </si>
  <si>
    <t>سجادة كبيرة</t>
  </si>
  <si>
    <t>ORD-095</t>
  </si>
  <si>
    <t>طابعة ذكية</t>
  </si>
  <si>
    <t>ORD-096</t>
  </si>
  <si>
    <t>مبرد ماء</t>
  </si>
  <si>
    <t>ORD-097</t>
  </si>
  <si>
    <t>ORD-098</t>
  </si>
  <si>
    <t>مفرش طاولة طعام</t>
  </si>
  <si>
    <t>ORD-099</t>
  </si>
  <si>
    <t>ذاكرة تخزين</t>
  </si>
  <si>
    <t>ORD-100</t>
  </si>
  <si>
    <t>ميكروويف رقمي</t>
  </si>
  <si>
    <t>ORD-101</t>
  </si>
  <si>
    <t>ثوب نوم</t>
  </si>
  <si>
    <t>ORD-102</t>
  </si>
  <si>
    <t>وسادة نوم</t>
  </si>
  <si>
    <t>ORD-103</t>
  </si>
  <si>
    <t>شاحن متنقل</t>
  </si>
  <si>
    <t>ORD-104</t>
  </si>
  <si>
    <t>مكواة بخار احترافية</t>
  </si>
  <si>
    <t>ORD-105</t>
  </si>
  <si>
    <t>حذاء جلدي</t>
  </si>
  <si>
    <t>ORD-106</t>
  </si>
  <si>
    <t>رف تخزين</t>
  </si>
  <si>
    <t>ORD-107</t>
  </si>
  <si>
    <t>شاشة عالية الدقة</t>
  </si>
  <si>
    <t>ORD-108</t>
  </si>
  <si>
    <t>مروحة أرضية</t>
  </si>
  <si>
    <t>ORD-109</t>
  </si>
  <si>
    <t>وشاح صيفي</t>
  </si>
  <si>
    <t>ORD-110</t>
  </si>
  <si>
    <t>سلة ديكور</t>
  </si>
  <si>
    <t>ORD-111</t>
  </si>
  <si>
    <t>سماعة رأس عازلة للضوضاء</t>
  </si>
  <si>
    <t>ORD-112</t>
  </si>
  <si>
    <t>محمصة متعددة الدرجات</t>
  </si>
  <si>
    <t>ORD-113</t>
  </si>
  <si>
    <t>جاكيت شتوي</t>
  </si>
  <si>
    <t>ORD-114</t>
  </si>
  <si>
    <t>شموع معطرة</t>
  </si>
  <si>
    <t>ORD-115</t>
  </si>
  <si>
    <t>لوحة مفاتيح ميكانيكية</t>
  </si>
  <si>
    <t>ORD-116</t>
  </si>
  <si>
    <t>غلاية سريعة الغلي</t>
  </si>
  <si>
    <t>ORD-117</t>
  </si>
  <si>
    <t>فستان سهرة فاخر</t>
  </si>
  <si>
    <t>ORD-118</t>
  </si>
  <si>
    <t>طاولة قهوة عصرية</t>
  </si>
  <si>
    <t>ORD-119</t>
  </si>
  <si>
    <t>فأرة ألعاب</t>
  </si>
  <si>
    <t>ORD-120</t>
  </si>
  <si>
    <t>مكيف جداري موفر للطاقة</t>
  </si>
  <si>
    <t>ORD-121</t>
  </si>
  <si>
    <t>عباءة بتصميم عصري</t>
  </si>
  <si>
    <t>ORD-122</t>
  </si>
  <si>
    <t>سجادة استقبال</t>
  </si>
  <si>
    <t>ORD-123</t>
  </si>
  <si>
    <t>كاميرا احترافية</t>
  </si>
  <si>
    <t>ORD-124</t>
  </si>
  <si>
    <t>ثلاجة وفريزر</t>
  </si>
  <si>
    <t>ORD-125</t>
  </si>
  <si>
    <t>بدلة رسمية كاملة</t>
  </si>
  <si>
    <t>ORD-126</t>
  </si>
  <si>
    <t>أرفف جدارية</t>
  </si>
  <si>
    <t>ORD-127</t>
  </si>
  <si>
    <t>جهاز عرض بدقة عالية</t>
  </si>
  <si>
    <t>ORD-128</t>
  </si>
  <si>
    <t>غسالة ملابس أوتوماتيكية</t>
  </si>
  <si>
    <t>ORD-129</t>
  </si>
  <si>
    <t>قميص بتصميم خاص</t>
  </si>
  <si>
    <t>ORD-130</t>
  </si>
  <si>
    <t>خزانة ملابس عصرية</t>
  </si>
  <si>
    <t>ORD-131</t>
  </si>
  <si>
    <t>ORD-132</t>
  </si>
  <si>
    <t>مكواة بخار عمودية</t>
  </si>
  <si>
    <t>ORD-133</t>
  </si>
  <si>
    <t>حقيبة سفر كبيرة</t>
  </si>
  <si>
    <t>ORD-134</t>
  </si>
  <si>
    <t>ستائر تعتيم</t>
  </si>
  <si>
    <t>ORD-135</t>
  </si>
  <si>
    <t>ساعة ذكية متطورة</t>
  </si>
  <si>
    <t>ORD-136</t>
  </si>
  <si>
    <t>مروحة سقف حديثة</t>
  </si>
  <si>
    <t>ORD-137</t>
  </si>
  <si>
    <t>ثوب رجالي بسعر مخفض</t>
  </si>
  <si>
    <t>ORD-138</t>
  </si>
  <si>
    <t>مفرش سرير قطني</t>
  </si>
  <si>
    <t>ORD-139</t>
  </si>
  <si>
    <t>كمبيوتر محمول خفيف</t>
  </si>
  <si>
    <t>ORD-140</t>
  </si>
  <si>
    <t>فرن كهربائي مدمج</t>
  </si>
  <si>
    <t>ORD-141</t>
  </si>
  <si>
    <t>معطف صيفي</t>
  </si>
  <si>
    <t>ORD-142</t>
  </si>
  <si>
    <t>أواني مطبخ زجاجية</t>
  </si>
  <si>
    <t>ORD-143</t>
  </si>
  <si>
    <t>سماعة أذن لاسلكية</t>
  </si>
  <si>
    <t>ORD-144</t>
  </si>
  <si>
    <t>مكنسة يدوية</t>
  </si>
  <si>
    <t>ORD-145</t>
  </si>
  <si>
    <t>حذاء رياضي مريح</t>
  </si>
  <si>
    <t>ORD-146</t>
  </si>
  <si>
    <t>طاولة طعام خشبية</t>
  </si>
  <si>
    <t>ORD-147</t>
  </si>
  <si>
    <t>كمبيوتر لوحي متطور</t>
  </si>
  <si>
    <t>ORD-148</t>
  </si>
  <si>
    <t>مكيف صحراوي كبير</t>
  </si>
  <si>
    <t>ORD-149</t>
  </si>
  <si>
    <t>قميص صيفي</t>
  </si>
  <si>
    <t>ORD-150</t>
  </si>
  <si>
    <t>مرآة ديكور كبيرة</t>
  </si>
  <si>
    <t>ORD-151</t>
  </si>
  <si>
    <t>راوتر عالي السرعة</t>
  </si>
  <si>
    <t>ORD-152</t>
  </si>
  <si>
    <t>خلاط عصير</t>
  </si>
  <si>
    <t>ORD-153</t>
  </si>
  <si>
    <t>بنطلون قطني</t>
  </si>
  <si>
    <t>ORD-154</t>
  </si>
  <si>
    <t>سجادة صغيرة للأطفال</t>
  </si>
  <si>
    <t>ORD-155</t>
  </si>
  <si>
    <t>طابعة منزلية</t>
  </si>
  <si>
    <t>ORD-156</t>
  </si>
  <si>
    <t>مبرد ماء صغير</t>
  </si>
  <si>
    <t>ORD-157</t>
  </si>
  <si>
    <t>حقيبة يد جلدية</t>
  </si>
  <si>
    <t>ORD-158</t>
  </si>
  <si>
    <t>مفرش سرير مزدوج</t>
  </si>
  <si>
    <t>ORD-159</t>
  </si>
  <si>
    <t>فلاش ميموري سريع</t>
  </si>
  <si>
    <t>ORD-160</t>
  </si>
  <si>
    <t>ميكروويف عادي</t>
  </si>
  <si>
    <t>ORD-161</t>
  </si>
  <si>
    <t>ثوب صيفي</t>
  </si>
  <si>
    <t>ORD-162</t>
  </si>
  <si>
    <t>وسادة للسرير</t>
  </si>
  <si>
    <t>ORD-163</t>
  </si>
  <si>
    <t>كابل شحن سريع</t>
  </si>
  <si>
    <t>ORD-164</t>
  </si>
  <si>
    <t>مكواة ملابس بسيطة</t>
  </si>
  <si>
    <t>ORD-165</t>
  </si>
  <si>
    <t>حذاء رسمي جلدي</t>
  </si>
  <si>
    <t>ORD-166</t>
  </si>
  <si>
    <t>رف أحذية</t>
  </si>
  <si>
    <t>ORD-167</t>
  </si>
  <si>
    <t>شاشة حاسوب مقاس كبير</t>
  </si>
  <si>
    <t>ORD-168</t>
  </si>
  <si>
    <t>ORD-169</t>
  </si>
  <si>
    <t>وشاح</t>
  </si>
  <si>
    <t>ORD-170</t>
  </si>
  <si>
    <t>سلة مهملات ذكية</t>
  </si>
  <si>
    <t>ORD-171</t>
  </si>
  <si>
    <t>ORD-172</t>
  </si>
  <si>
    <t>محمصة خبز عصرية</t>
  </si>
  <si>
    <t>ORD-173</t>
  </si>
  <si>
    <t>جاكيت</t>
  </si>
  <si>
    <t>ORD-174</t>
  </si>
  <si>
    <t>ORD-175</t>
  </si>
  <si>
    <t>لوحة مفاتيح لاسلكية</t>
  </si>
  <si>
    <t>ORD-176</t>
  </si>
  <si>
    <t>غلاية ماء سريعة</t>
  </si>
  <si>
    <t>ORD-177</t>
  </si>
  <si>
    <t>ORD-178</t>
  </si>
  <si>
    <t>ORD-179</t>
  </si>
  <si>
    <t>ORD-180</t>
  </si>
  <si>
    <t>ORD-181</t>
  </si>
  <si>
    <t>ORD-182</t>
  </si>
  <si>
    <t>ORD-183</t>
  </si>
  <si>
    <t>ORD-184</t>
  </si>
  <si>
    <t>غير محدد</t>
  </si>
  <si>
    <t>Profit</t>
  </si>
  <si>
    <t>Profit Margin</t>
  </si>
  <si>
    <t>Month</t>
  </si>
  <si>
    <t>Quarter</t>
  </si>
  <si>
    <t>المؤشر</t>
  </si>
  <si>
    <t>القيمة</t>
  </si>
  <si>
    <t>إجمالي الإيرادات</t>
  </si>
  <si>
    <t>إجمالي الربح</t>
  </si>
  <si>
    <t>عدد الطلبات</t>
  </si>
  <si>
    <t>عدد العملاء المميزين</t>
  </si>
  <si>
    <t>متوسط قيمة الطلب</t>
  </si>
  <si>
    <t>متوسط الربح لكل طلب</t>
  </si>
  <si>
    <t>أعلى قيمة طلب</t>
  </si>
  <si>
    <t>نسبة الطلبات المكتملة</t>
  </si>
  <si>
    <t>السؤال التجاري الذي يجيبه</t>
  </si>
  <si>
    <t>ما هو حجم أعمالنا الكلي؟</t>
  </si>
  <si>
    <t>كم ربحنا الصافي؟</t>
  </si>
  <si>
    <t>كم عملية بيع أجريناها؟</t>
  </si>
  <si>
    <t>كم عميل فريد لدينا؟</t>
  </si>
  <si>
    <t>هل العملاء ينفقون أكثر أم أقل لكل طلب؟</t>
  </si>
  <si>
    <t>هل نربح ما يكفي من كل عملية؟</t>
  </si>
  <si>
    <t>ما هو أكبر طلب حصلنا عليه؟</t>
  </si>
  <si>
    <t>هل نسبة الإلغاء مقلقة؟</t>
  </si>
  <si>
    <t>Row Labels</t>
  </si>
  <si>
    <t>Sum of Profit</t>
  </si>
  <si>
    <t>Grand Total</t>
  </si>
  <si>
    <t>Sum of Total Sales</t>
  </si>
  <si>
    <t>Count of Order ID</t>
  </si>
  <si>
    <t>January</t>
  </si>
  <si>
    <t>February</t>
  </si>
  <si>
    <t>March</t>
  </si>
  <si>
    <t>April</t>
  </si>
  <si>
    <t>May</t>
  </si>
  <si>
    <t>June</t>
  </si>
  <si>
    <t>July</t>
  </si>
  <si>
    <t>August</t>
  </si>
  <si>
    <t>October</t>
  </si>
  <si>
    <t>November</t>
  </si>
  <si>
    <t>December</t>
  </si>
  <si>
    <t>Count of Customer Name</t>
  </si>
  <si>
    <t>Average Order Value by chanel</t>
  </si>
  <si>
    <t>Average Order Value by Customer Type</t>
  </si>
  <si>
    <t>تحليل أداء المبيعات — متجر "أفضل اختيار</t>
  </si>
  <si>
    <t>Sum of Profit Margin</t>
  </si>
  <si>
    <t>تحليل أداء المبيعات — متجر "أفضل اختيار"</t>
  </si>
  <si>
    <t>تقرير الرؤى والتوصيات</t>
  </si>
  <si>
    <t>إجمالي الإيرادات:</t>
  </si>
  <si>
    <t>ثانياً: الرؤى والتحليل</t>
  </si>
  <si>
    <t>قسم ١: المبيعات الشهرية</t>
  </si>
  <si>
    <t>الملاحظة:</t>
  </si>
  <si>
    <t>أعلى مبيعات تحققت في شهر مايو بفارق كبير، وتنخفض المبيعات بدءًا من أغسطس حتى نهاية السنة</t>
  </si>
  <si>
    <t>الأداء لا يعتمد على نمو مستدام بل على شهر استثنائي واحد، ثم يتراجع — مما يعني غياب خطة لاستمرار الزخم</t>
  </si>
  <si>
    <t>الرؤية</t>
  </si>
  <si>
    <t>قسم ٢: المنتجات والأرباح</t>
  </si>
  <si>
    <t>الملاحظة</t>
  </si>
  <si>
    <t>الأجهزة المنزلية والإلكترونيات الأعلى مبيعات، والملابس أقل مبيعات بأعلى هامش ربح. كلما ارتفعت قيمة المبيعات انخفض الهامش</t>
  </si>
  <si>
    <t>نعتمد على حجم مبيعات كبير بربح محدود، والمنتجات الأكثر ربحًا لا تحصل على نصيب كافٍ من العرض</t>
  </si>
  <si>
    <t>قسم ٣: قنوات البيع</t>
  </si>
  <si>
    <t>المعرض متقدم في المبيعات ومتوسط قيمة الطلب، لكن الفرق بينه وبين الإنترنت ليس كبيرًا</t>
  </si>
  <si>
    <t>للإنترنت إمكانية نمو كبيرة بتحسينات بسيطة فقط، وهو ما يجب استغلاله</t>
  </si>
  <si>
    <t>قسم ٤: المناطق</t>
  </si>
  <si>
    <t>الرياض ثم جدة تتصدران، بفارق واضح عن الدمام ومكة</t>
  </si>
  <si>
    <t>السوق لم يُستغل بالكامل في المناطق الأخرى — فرصة توسيع حقيقية بتكلفة تسويق منخفضة</t>
  </si>
  <si>
    <t>قسم ٥: العملاء وسلوكهم</t>
  </si>
  <si>
    <t>العملاء الجدد ينفقون أكثر رغم قلة طلباتهم، والقدامى أكثر عددًا بأقل قيمة. فئة "غير محدد" 5% من العدد و7% من المبيعات</t>
  </si>
  <si>
    <t>نجذب عملاء جيدين لكننا لا ننجح في إعادتهم بنفس مستوى الإنفاق، وهناك شريحة عالية الإنفاق لا نعرف تصنيفها بدقة</t>
  </si>
  <si>
    <r>
      <rPr>
        <sz val="16"/>
        <color rgb="FFFF0000"/>
        <rFont val="Calibri"/>
        <family val="2"/>
        <scheme val="minor"/>
      </rPr>
      <t>أ</t>
    </r>
    <r>
      <rPr>
        <b/>
        <sz val="16"/>
        <color rgb="FFFF0000"/>
        <rFont val="Calibri"/>
        <family val="2"/>
        <scheme val="minor"/>
      </rPr>
      <t>ولاً: المؤشرات العامة</t>
    </r>
  </si>
  <si>
    <t>ثالثاً: التوصيات والإجراءات المقترحة</t>
  </si>
  <si>
    <t>حدد سبب ذروة مايو وكرر نفس العوامل في الأشهر الضعيفة</t>
  </si>
  <si>
    <t>أطلق عروض تنشيط من يونيو وحتى ديسمبر لتقليل الفجوة الشهرية</t>
  </si>
  <si>
    <t xml:space="preserve"> تحسين هيكل الربح</t>
  </si>
  <si>
    <t xml:space="preserve"> استقرار المبيعات شهريًا</t>
  </si>
  <si>
    <t>زيادة عرض منتجات الملابس ومستلزمات المنزل لرفع الهامش الكلي</t>
  </si>
  <si>
    <t>تصميم عروض مشتركة تجمع منتجًا عالي المبيعات بمنتج عالي الربح</t>
  </si>
  <si>
    <t>تطوير قناة الإنترنت</t>
  </si>
  <si>
    <t>أضف منتجات ذات هامش مرتفع للمتجر الإلكتروني لزيادة متوسط قيمة الطلب</t>
  </si>
  <si>
    <t>قدم عرض "توصيل مجاني عند مبلغ محدد" لتشجيع إضافة المزيد للسلة</t>
  </si>
  <si>
    <t>التوسع في المناطق غير المستغلة</t>
  </si>
  <si>
    <t>حملة تسويقية تستهدف مكة والدمام لمدة شهرين وقياس العائد</t>
  </si>
  <si>
    <t>ألاحتفاظ بالعملاء وتصنيفهم بدقة</t>
  </si>
  <si>
    <t>برنامج ولاء للعملاء القدامى لزيادة قيمة طلباتهم</t>
  </si>
  <si>
    <t>عرض خاص للعملاء الجدد بعد 14 يومًا من الشراء لتشجيع العودة</t>
  </si>
  <si>
    <t>جعل حقل "نوع العميل" إجباريًا في نموذج الطلب الجديد لتصنيف كل عميل بدقة من الآن فصاعدًا</t>
  </si>
  <si>
    <t>الخلاصة</t>
  </si>
  <si>
    <t>المتجر يحقق أداءً قويًا مدفوعًا بمنتجات بحجم مبيعات كبير، ويعمل بشكل ممتاز في مدينتين، ولديه قاعدة عملاء واعدة عبر القناتين</t>
  </si>
  <si>
    <t>لنجاح القادم يكمن في: رفع ربحية المنتجات، تنشيط المبيعات في الأشهر الضعيفة، توسيع التواجد في المناطق الأخرى، وتعزيز عودة العملاء</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</si>
</sst>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4" formatCode="_(&quot;$&quot;* #,##0.00_);_(&quot;$&quot;* \(#,##0.00\);_(&quot;$&quot;* &quot;-&quot;??_);_(@_)"/>
  </numFmts>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rgb="FF000000"/>
      <name val="Consolas"/>
      <family val="3"/>
    </font>
    <font>
      <b/>
      <sz val="14"/>
      <color theme="1"/>
      <name val="Calibri"/>
      <family val="2"/>
      <scheme val="minor"/>
    </font>
    <font>
      <b/>
      <sz val="18"/>
      <color theme="1"/>
      <name val="Calibri"/>
      <family val="2"/>
      <scheme val="minor"/>
    </font>
    <font>
      <b/>
      <sz val="16"/>
      <color theme="1"/>
      <name val="Calibri"/>
      <family val="2"/>
      <scheme val="minor"/>
    </font>
    <font>
      <b/>
      <u val="double"/>
      <sz val="14"/>
      <color theme="1"/>
      <name val="Calibri"/>
      <family val="2"/>
      <scheme val="minor"/>
    </font>
    <font>
      <b/>
      <sz val="16"/>
      <color rgb="FFFF0000"/>
      <name val="Calibri"/>
      <family val="2"/>
      <scheme val="minor"/>
    </font>
    <font>
      <sz val="16"/>
      <color rgb="FFFF0000"/>
      <name val="Calibri"/>
      <family val="2"/>
      <scheme val="minor"/>
    </font>
    <font>
      <b/>
      <u val="double"/>
      <sz val="14"/>
      <color theme="1"/>
      <name val="Arial"/>
      <family val="2"/>
    </font>
    <font>
      <b/>
      <sz val="16"/>
      <color rgb="FFFF0000"/>
      <name val="Consolas"/>
      <family val="3"/>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4">
    <xf numFmtId="0" fontId="0" fillId="0" borderId="0" xfId="0"/>
    <xf numFmtId="14" fontId="0" fillId="0" borderId="0" xfId="0" applyNumberFormat="1"/>
    <xf numFmtId="49" fontId="0" fillId="0" borderId="0" xfId="0" applyNumberFormat="1"/>
    <xf numFmtId="44" fontId="0" fillId="0" borderId="0" xfId="0" applyNumberFormat="1"/>
    <xf numFmtId="0" fontId="18" fillId="0" borderId="0" xfId="0" applyFont="1"/>
    <xf numFmtId="9" fontId="0" fillId="0" borderId="0" xfId="1" applyFont="1"/>
    <xf numFmtId="0" fontId="0" fillId="0" borderId="0" xfId="0" applyNumberFormat="1"/>
    <xf numFmtId="0" fontId="19" fillId="0" borderId="0" xfId="0" applyFont="1" applyAlignment="1">
      <alignment horizontal="center"/>
    </xf>
    <xf numFmtId="0" fontId="13" fillId="9" borderId="0" xfId="19" applyFont="1"/>
    <xf numFmtId="0" fontId="0" fillId="0" borderId="0" xfId="0" pivotButton="1"/>
    <xf numFmtId="0" fontId="0" fillId="0" borderId="0" xfId="0" applyAlignment="1">
      <alignment horizontal="left"/>
    </xf>
    <xf numFmtId="0" fontId="20" fillId="0" borderId="0" xfId="0" applyFont="1"/>
    <xf numFmtId="0" fontId="19" fillId="0" borderId="0" xfId="0" applyFont="1"/>
    <xf numFmtId="44" fontId="17" fillId="13" borderId="0" xfId="23" applyNumberFormat="1"/>
    <xf numFmtId="0" fontId="17" fillId="13" borderId="0" xfId="23"/>
    <xf numFmtId="0" fontId="22" fillId="0" borderId="0" xfId="0" applyFont="1"/>
    <xf numFmtId="0" fontId="23" fillId="0" borderId="0" xfId="0" applyFont="1"/>
    <xf numFmtId="0" fontId="24" fillId="0" borderId="0" xfId="0" applyFont="1"/>
    <xf numFmtId="0" fontId="25" fillId="0" borderId="0" xfId="0" applyFont="1" applyAlignment="1">
      <alignment horizontal="right" vertical="center" readingOrder="2"/>
    </xf>
    <xf numFmtId="0" fontId="16" fillId="0" borderId="0" xfId="0" applyFont="1"/>
    <xf numFmtId="0" fontId="26" fillId="0" borderId="0" xfId="0" applyFont="1"/>
    <xf numFmtId="0" fontId="21" fillId="0" borderId="0" xfId="0" applyFont="1" applyAlignment="1">
      <alignment horizontal="center"/>
    </xf>
    <xf numFmtId="0" fontId="0" fillId="0" borderId="0" xfId="0" applyAlignment="1">
      <alignment horizontal="center"/>
    </xf>
    <xf numFmtId="0" fontId="0" fillId="33" borderId="0" xfId="0" applyFill="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7">
    <dxf>
      <numFmt numFmtId="34" formatCode="_(&quot;$&quot;* #,##0.00_);_(&quot;$&quot;* \(#,##0.00\);_(&quot;$&quot;* &quot;-&quot;??_);_(@_)"/>
    </dxf>
    <dxf>
      <font>
        <b/>
      </font>
    </dxf>
    <dxf>
      <font>
        <b/>
        <strike val="0"/>
        <outline val="0"/>
        <shadow val="0"/>
        <u val="none"/>
        <vertAlign val="baseline"/>
        <sz val="14"/>
        <color theme="1"/>
        <name val="Calibri"/>
        <scheme val="minor"/>
      </font>
      <alignment horizontal="center" vertical="bottom" textRotation="0" wrapText="0" indent="0" justifyLastLine="0" shrinkToFit="0" readingOrder="0"/>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0" formatCode="@"/>
    </dxf>
    <dxf>
      <numFmt numFmtId="30" formatCode="@"/>
    </dxf>
    <dxf>
      <numFmt numFmtId="30" formatCode="@"/>
    </dxf>
    <dxf>
      <numFmt numFmtId="30" formatCode="@"/>
    </dxf>
    <dxf>
      <numFmt numFmtId="30" formatCode="@"/>
    </dxf>
    <dxf>
      <numFmt numFmtId="30" formatCode="@"/>
    </dxf>
    <dxf>
      <numFmt numFmtId="19" formatCode="m/d/yyyy"/>
    </dxf>
    <dxf>
      <fill>
        <patternFill>
          <bgColor theme="4" tint="0.39994506668294322"/>
        </patternFill>
      </fill>
    </dxf>
  </dxfs>
  <tableStyles count="1" defaultTableStyle="TableStyleMedium2" defaultPivotStyle="PivotStyleLight16">
    <tableStyle name="Table Style 1" pivot="0" count="1">
      <tableStyleElement type="firstColumn" dxfId="1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[sales_analysis_dashboard.xlsx]المبيعات الشهرية!PivotTable3</c:name>
    <c:fmtId val="1"/>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'المبيعات الشهرية'!$B$3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'المبيعات الشهرية'!$A$4:$A$15</c:f>
              <c:strCache>
                <c:ptCount val="11"/>
                <c:pt idx="0">
                  <c:v>January</c:v>
                </c:pt>
                <c:pt idx="1">
                  <c:v>February</c:v>
                </c:pt>
                <c:pt idx="2">
                  <c:v>March</c:v>
                </c:pt>
                <c:pt idx="3">
                  <c:v>April</c:v>
                </c:pt>
                <c:pt idx="4">
                  <c:v>May</c:v>
                </c:pt>
                <c:pt idx="5">
                  <c:v>June</c:v>
                </c:pt>
                <c:pt idx="6">
                  <c:v>July</c:v>
                </c:pt>
                <c:pt idx="7">
                  <c:v>August</c:v>
                </c:pt>
                <c:pt idx="8">
                  <c:v>October</c:v>
                </c:pt>
                <c:pt idx="9">
                  <c:v>November</c:v>
                </c:pt>
                <c:pt idx="10">
                  <c:v>December</c:v>
                </c:pt>
              </c:strCache>
            </c:strRef>
          </c:cat>
          <c:val>
            <c:numRef>
              <c:f>'المبيعات الشهرية'!$B$4:$B$15</c:f>
              <c:numCache>
                <c:formatCode>General</c:formatCode>
                <c:ptCount val="11"/>
                <c:pt idx="0">
                  <c:v>20344</c:v>
                </c:pt>
                <c:pt idx="1">
                  <c:v>25653</c:v>
                </c:pt>
                <c:pt idx="2">
                  <c:v>35473</c:v>
                </c:pt>
                <c:pt idx="3">
                  <c:v>32847</c:v>
                </c:pt>
                <c:pt idx="4">
                  <c:v>50124</c:v>
                </c:pt>
                <c:pt idx="5">
                  <c:v>26170</c:v>
                </c:pt>
                <c:pt idx="6">
                  <c:v>17760</c:v>
                </c:pt>
                <c:pt idx="7">
                  <c:v>320</c:v>
                </c:pt>
                <c:pt idx="8">
                  <c:v>6240</c:v>
                </c:pt>
                <c:pt idx="9">
                  <c:v>1100</c:v>
                </c:pt>
                <c:pt idx="10">
                  <c:v>370</c:v>
                </c:pt>
              </c:numCache>
            </c:numRef>
          </c:val>
        </c:ser>
        <c:dLbls>
          <c:showLegendKey val="0"/>
          <c:showVal val="0"/>
          <c:showCatName val="0"/>
          <c:showSerName val="0"/>
          <c:showPercent val="0"/>
          <c:showBubbleSize val="0"/>
        </c:dLbls>
        <c:gapWidth val="100"/>
        <c:overlap val="-24"/>
        <c:axId val="318634280"/>
        <c:axId val="318641336"/>
      </c:barChart>
      <c:catAx>
        <c:axId val="3186342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8641336"/>
        <c:crosses val="autoZero"/>
        <c:auto val="1"/>
        <c:lblAlgn val="ctr"/>
        <c:lblOffset val="100"/>
        <c:noMultiLvlLbl val="0"/>
      </c:catAx>
      <c:valAx>
        <c:axId val="3186413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86342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[sales_analysis_dashboard.xlsx]الأداء حسب فئة المنتج!PivotTable4</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'الأداء حسب فئة المنتج'!$B$1</c:f>
              <c:strCache>
                <c:ptCount val="1"/>
                <c:pt idx="0">
                  <c:v>Sum of 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'الأداء حسب فئة المنتج'!$A$2:$A$6</c:f>
              <c:strCache>
                <c:ptCount val="4"/>
                <c:pt idx="0">
                  <c:v>أجهزة منزلية</c:v>
                </c:pt>
                <c:pt idx="1">
                  <c:v>إلكترونيات</c:v>
                </c:pt>
                <c:pt idx="2">
                  <c:v>مستلزمات المنزل</c:v>
                </c:pt>
                <c:pt idx="3">
                  <c:v>ملابس</c:v>
                </c:pt>
              </c:strCache>
            </c:strRef>
          </c:cat>
          <c:val>
            <c:numRef>
              <c:f>'الأداء حسب فئة المنتج'!$B$2:$B$6</c:f>
              <c:numCache>
                <c:formatCode>General</c:formatCode>
                <c:ptCount val="4"/>
                <c:pt idx="0">
                  <c:v>72330</c:v>
                </c:pt>
                <c:pt idx="1">
                  <c:v>71526</c:v>
                </c:pt>
                <c:pt idx="2">
                  <c:v>41860</c:v>
                </c:pt>
                <c:pt idx="3">
                  <c:v>30685</c:v>
                </c:pt>
              </c:numCache>
            </c:numRef>
          </c:val>
        </c:ser>
        <c:ser>
          <c:idx val="1"/>
          <c:order val="1"/>
          <c:tx>
            <c:strRef>
              <c:f>'الأداء حسب فئة المنتج'!$C$1</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'الأداء حسب فئة المنتج'!$A$2:$A$6</c:f>
              <c:strCache>
                <c:ptCount val="4"/>
                <c:pt idx="0">
                  <c:v>أجهزة منزلية</c:v>
                </c:pt>
                <c:pt idx="1">
                  <c:v>إلكترونيات</c:v>
                </c:pt>
                <c:pt idx="2">
                  <c:v>مستلزمات المنزل</c:v>
                </c:pt>
                <c:pt idx="3">
                  <c:v>ملابس</c:v>
                </c:pt>
              </c:strCache>
            </c:strRef>
          </c:cat>
          <c:val>
            <c:numRef>
              <c:f>'الأداء حسب فئة المنتج'!$C$2:$C$6</c:f>
              <c:numCache>
                <c:formatCode>General</c:formatCode>
                <c:ptCount val="4"/>
                <c:pt idx="0">
                  <c:v>22165</c:v>
                </c:pt>
                <c:pt idx="1">
                  <c:v>22513</c:v>
                </c:pt>
                <c:pt idx="2">
                  <c:v>16944</c:v>
                </c:pt>
                <c:pt idx="3">
                  <c:v>13650</c:v>
                </c:pt>
              </c:numCache>
            </c:numRef>
          </c:val>
        </c:ser>
        <c:ser>
          <c:idx val="2"/>
          <c:order val="2"/>
          <c:tx>
            <c:strRef>
              <c:f>'الأداء حسب فئة المنتج'!$D$1</c:f>
              <c:strCache>
                <c:ptCount val="1"/>
                <c:pt idx="0">
                  <c:v>Sum of Profit Margin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'الأداء حسب فئة المنتج'!$A$2:$A$6</c:f>
              <c:strCache>
                <c:ptCount val="4"/>
                <c:pt idx="0">
                  <c:v>أجهزة منزلية</c:v>
                </c:pt>
                <c:pt idx="1">
                  <c:v>إلكترونيات</c:v>
                </c:pt>
                <c:pt idx="2">
                  <c:v>مستلزمات المنزل</c:v>
                </c:pt>
                <c:pt idx="3">
                  <c:v>ملابس</c:v>
                </c:pt>
              </c:strCache>
            </c:strRef>
          </c:cat>
          <c:val>
            <c:numRef>
              <c:f>'الأداء حسب فئة المنتج'!$D$2:$D$6</c:f>
              <c:numCache>
                <c:formatCode>_("$"* #,##0.00_);_("$"* \(#,##0.00\);_("$"* "-"??_);_(@_)</c:formatCode>
                <c:ptCount val="4"/>
                <c:pt idx="0">
                  <c:v>16.707588245386436</c:v>
                </c:pt>
                <c:pt idx="1">
                  <c:v>17.803088780936392</c:v>
                </c:pt>
                <c:pt idx="2">
                  <c:v>19.446851738193953</c:v>
                </c:pt>
                <c:pt idx="3">
                  <c:v>20.846022867138732</c:v>
                </c:pt>
              </c:numCache>
            </c:numRef>
          </c:val>
        </c:ser>
        <c:dLbls>
          <c:showLegendKey val="0"/>
          <c:showVal val="0"/>
          <c:showCatName val="0"/>
          <c:showSerName val="0"/>
          <c:showPercent val="0"/>
          <c:showBubbleSize val="0"/>
        </c:dLbls>
        <c:gapWidth val="100"/>
        <c:overlap val="-24"/>
        <c:axId val="318636240"/>
        <c:axId val="318644472"/>
      </c:barChart>
      <c:catAx>
        <c:axId val="3186362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8644472"/>
        <c:crosses val="autoZero"/>
        <c:auto val="1"/>
        <c:lblAlgn val="ctr"/>
        <c:lblOffset val="100"/>
        <c:noMultiLvlLbl val="0"/>
      </c:catAx>
      <c:valAx>
        <c:axId val="3186444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86362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[sales_analysis_dashboard.xlsx]مقارنة قنوات البيع!PivotTable5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SA" sz="1600" b="1" i="0" u="none" strike="noStrike" baseline="0"/>
              <a:t>مقارنة قنوات البيع</a:t>
            </a:r>
            <a:endParaRPr lang="en-US" sz="16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'مقارنة قنوات البيع'!$B$1</c:f>
              <c:strCache>
                <c:ptCount val="1"/>
                <c:pt idx="0">
                  <c:v>Sum of Total Sales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'مقارنة قنوات البيع'!$A$2:$A$4</c:f>
              <c:strCache>
                <c:ptCount val="2"/>
                <c:pt idx="0">
                  <c:v>المعرض</c:v>
                </c:pt>
                <c:pt idx="1">
                  <c:v>عبر الإنترنت</c:v>
                </c:pt>
              </c:strCache>
            </c:strRef>
          </c:cat>
          <c:val>
            <c:numRef>
              <c:f>'مقارنة قنوات البيع'!$B$2:$B$4</c:f>
              <c:numCache>
                <c:formatCode>General</c:formatCode>
                <c:ptCount val="2"/>
                <c:pt idx="0">
                  <c:v>115180</c:v>
                </c:pt>
                <c:pt idx="1">
                  <c:v>101221</c:v>
                </c:pt>
              </c:numCache>
            </c:numRef>
          </c:val>
        </c:ser>
        <c:ser>
          <c:idx val="1"/>
          <c:order val="1"/>
          <c:tx>
            <c:strRef>
              <c:f>'مقارنة قنوات البيع'!$C$1</c:f>
              <c:strCache>
                <c:ptCount val="1"/>
                <c:pt idx="0">
                  <c:v>Average Order Value by chanel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'مقارنة قنوات البيع'!$A$2:$A$4</c:f>
              <c:strCache>
                <c:ptCount val="2"/>
                <c:pt idx="0">
                  <c:v>المعرض</c:v>
                </c:pt>
                <c:pt idx="1">
                  <c:v>عبر الإنترنت</c:v>
                </c:pt>
              </c:strCache>
            </c:strRef>
          </c:cat>
          <c:val>
            <c:numRef>
              <c:f>'مقارنة قنوات البيع'!$C$2:$C$4</c:f>
              <c:numCache>
                <c:formatCode>General</c:formatCode>
                <c:ptCount val="2"/>
                <c:pt idx="0">
                  <c:v>1251.9565217391305</c:v>
                </c:pt>
                <c:pt idx="1">
                  <c:v>1100.2282608695652</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[sales_analysis_dashboard.xlsx]تحليل المناطق!PivotTable6</c:name>
    <c:fmtId val="17"/>
  </c:pivotSource>
  <c:chart>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'تحليل المناطق'!$B$1</c:f>
              <c:strCache>
                <c:ptCount val="1"/>
                <c:pt idx="0">
                  <c:v>Sum of Total Sales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'تحليل المناطق'!$A$2:$A$6</c:f>
              <c:strCache>
                <c:ptCount val="4"/>
                <c:pt idx="0">
                  <c:v>الرياض</c:v>
                </c:pt>
                <c:pt idx="1">
                  <c:v>جدة</c:v>
                </c:pt>
                <c:pt idx="2">
                  <c:v>الدمام</c:v>
                </c:pt>
                <c:pt idx="3">
                  <c:v>مكة</c:v>
                </c:pt>
              </c:strCache>
            </c:strRef>
          </c:cat>
          <c:val>
            <c:numRef>
              <c:f>'تحليل المناطق'!$B$2:$B$6</c:f>
              <c:numCache>
                <c:formatCode>General</c:formatCode>
                <c:ptCount val="4"/>
                <c:pt idx="0">
                  <c:v>82551</c:v>
                </c:pt>
                <c:pt idx="1">
                  <c:v>74860</c:v>
                </c:pt>
                <c:pt idx="2">
                  <c:v>43410</c:v>
                </c:pt>
                <c:pt idx="3">
                  <c:v>15580</c:v>
                </c:pt>
              </c:numCache>
            </c:numRef>
          </c:val>
        </c:ser>
        <c:ser>
          <c:idx val="1"/>
          <c:order val="1"/>
          <c:tx>
            <c:strRef>
              <c:f>'تحليل المناطق'!$C$1</c:f>
              <c:strCache>
                <c:ptCount val="1"/>
                <c:pt idx="0">
                  <c:v>Count of Customer Name</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'تحليل المناطق'!$A$2:$A$6</c:f>
              <c:strCache>
                <c:ptCount val="4"/>
                <c:pt idx="0">
                  <c:v>الرياض</c:v>
                </c:pt>
                <c:pt idx="1">
                  <c:v>جدة</c:v>
                </c:pt>
                <c:pt idx="2">
                  <c:v>الدمام</c:v>
                </c:pt>
                <c:pt idx="3">
                  <c:v>مكة</c:v>
                </c:pt>
              </c:strCache>
            </c:strRef>
          </c:cat>
          <c:val>
            <c:numRef>
              <c:f>'تحليل المناطق'!$C$2:$C$6</c:f>
              <c:numCache>
                <c:formatCode>General</c:formatCode>
                <c:ptCount val="4"/>
                <c:pt idx="0">
                  <c:v>74</c:v>
                </c:pt>
                <c:pt idx="1">
                  <c:v>55</c:v>
                </c:pt>
                <c:pt idx="2">
                  <c:v>37</c:v>
                </c:pt>
                <c:pt idx="3">
                  <c:v>18</c:v>
                </c:pt>
              </c:numCache>
            </c:numRef>
          </c:val>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[sales_analysis_dashboard.xlsx]نوع العميل وسلوكه!PivotTable7</c:name>
    <c:fmtId val="1"/>
  </c:pivotSource>
  <c:chart>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'نوع العميل وسلوكه'!$B$1</c:f>
              <c:strCache>
                <c:ptCount val="1"/>
                <c:pt idx="0">
                  <c:v>Sum of Total Sales</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'نوع العميل وسلوكه'!$A$2:$A$5</c:f>
              <c:strCache>
                <c:ptCount val="3"/>
                <c:pt idx="0">
                  <c:v>جديدة</c:v>
                </c:pt>
                <c:pt idx="1">
                  <c:v>عائد</c:v>
                </c:pt>
                <c:pt idx="2">
                  <c:v>غير محدد</c:v>
                </c:pt>
              </c:strCache>
            </c:strRef>
          </c:cat>
          <c:val>
            <c:numRef>
              <c:f>'نوع العميل وسلوكه'!$B$2:$B$5</c:f>
              <c:numCache>
                <c:formatCode>General</c:formatCode>
                <c:ptCount val="3"/>
                <c:pt idx="0">
                  <c:v>110940</c:v>
                </c:pt>
                <c:pt idx="1">
                  <c:v>90531</c:v>
                </c:pt>
                <c:pt idx="2">
                  <c:v>14930</c:v>
                </c:pt>
              </c:numCache>
            </c:numRef>
          </c:val>
        </c:ser>
        <c:dLbls>
          <c:showLegendKey val="0"/>
          <c:showVal val="0"/>
          <c:showCatName val="0"/>
          <c:showSerName val="0"/>
          <c:showPercent val="0"/>
          <c:showBubbleSize val="0"/>
          <c:showLeaderLines val="1"/>
        </c:dLbls>
        <c:firstSliceAng val="0"/>
        <c:holeSize val="50"/>
      </c:doughnutChart>
      <c:pieChart>
        <c:varyColors val="1"/>
        <c:ser>
          <c:idx val="1"/>
          <c:order val="1"/>
          <c:tx>
            <c:strRef>
              <c:f>'نوع العميل وسلوكه'!$C$1</c:f>
              <c:strCache>
                <c:ptCount val="1"/>
                <c:pt idx="0">
                  <c:v>Count of Order ID</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'نوع العميل وسلوكه'!$A$2:$A$5</c:f>
              <c:strCache>
                <c:ptCount val="3"/>
                <c:pt idx="0">
                  <c:v>جديدة</c:v>
                </c:pt>
                <c:pt idx="1">
                  <c:v>عائد</c:v>
                </c:pt>
                <c:pt idx="2">
                  <c:v>غير محدد</c:v>
                </c:pt>
              </c:strCache>
            </c:strRef>
          </c:cat>
          <c:val>
            <c:numRef>
              <c:f>'نوع العميل وسلوكه'!$C$2:$C$5</c:f>
              <c:numCache>
                <c:formatCode>General</c:formatCode>
                <c:ptCount val="3"/>
                <c:pt idx="0">
                  <c:v>82</c:v>
                </c:pt>
                <c:pt idx="1">
                  <c:v>92</c:v>
                </c:pt>
                <c:pt idx="2">
                  <c:v>10</c:v>
                </c:pt>
              </c:numCache>
            </c:numRef>
          </c:val>
        </c:ser>
        <c:ser>
          <c:idx val="2"/>
          <c:order val="2"/>
          <c:tx>
            <c:strRef>
              <c:f>'نوع العميل وسلوكه'!$D$1</c:f>
              <c:strCache>
                <c:ptCount val="1"/>
                <c:pt idx="0">
                  <c:v>Average Order Value by Customer Type</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'نوع العميل وسلوكه'!$A$2:$A$5</c:f>
              <c:strCache>
                <c:ptCount val="3"/>
                <c:pt idx="0">
                  <c:v>جديدة</c:v>
                </c:pt>
                <c:pt idx="1">
                  <c:v>عائد</c:v>
                </c:pt>
                <c:pt idx="2">
                  <c:v>غير محدد</c:v>
                </c:pt>
              </c:strCache>
            </c:strRef>
          </c:cat>
          <c:val>
            <c:numRef>
              <c:f>'نوع العميل وسلوكه'!$D$2:$D$5</c:f>
              <c:numCache>
                <c:formatCode>General</c:formatCode>
                <c:ptCount val="3"/>
                <c:pt idx="0">
                  <c:v>1352.9268292682927</c:v>
                </c:pt>
                <c:pt idx="1">
                  <c:v>984.03260869565213</c:v>
                </c:pt>
                <c:pt idx="2">
                  <c:v>1493</c:v>
                </c:pt>
              </c:numCache>
            </c:numRef>
          </c:val>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[sales_analysis_dashboard.xlsx]المبيعات الشهرية!PivotTable3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SA"/>
              <a:t>اتجاه المبيعات الشهرية</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'المبيعات الشهرية'!$B$3</c:f>
              <c:strCache>
                <c:ptCount val="1"/>
                <c:pt idx="0">
                  <c:v>Total</c:v>
                </c:pt>
              </c:strCache>
            </c:strRef>
          </c:tx>
          <c:spPr>
            <a:solidFill>
              <a:schemeClr val="accent1"/>
            </a:solidFill>
            <a:ln>
              <a:noFill/>
            </a:ln>
            <a:effectLst/>
          </c:spPr>
          <c:invertIfNegative val="0"/>
          <c:cat>
            <c:strRef>
              <c:f>'المبيعات الشهرية'!$A$4:$A$15</c:f>
              <c:strCache>
                <c:ptCount val="11"/>
                <c:pt idx="0">
                  <c:v>January</c:v>
                </c:pt>
                <c:pt idx="1">
                  <c:v>February</c:v>
                </c:pt>
                <c:pt idx="2">
                  <c:v>March</c:v>
                </c:pt>
                <c:pt idx="3">
                  <c:v>April</c:v>
                </c:pt>
                <c:pt idx="4">
                  <c:v>May</c:v>
                </c:pt>
                <c:pt idx="5">
                  <c:v>June</c:v>
                </c:pt>
                <c:pt idx="6">
                  <c:v>July</c:v>
                </c:pt>
                <c:pt idx="7">
                  <c:v>August</c:v>
                </c:pt>
                <c:pt idx="8">
                  <c:v>October</c:v>
                </c:pt>
                <c:pt idx="9">
                  <c:v>November</c:v>
                </c:pt>
                <c:pt idx="10">
                  <c:v>December</c:v>
                </c:pt>
              </c:strCache>
            </c:strRef>
          </c:cat>
          <c:val>
            <c:numRef>
              <c:f>'المبيعات الشهرية'!$B$4:$B$15</c:f>
              <c:numCache>
                <c:formatCode>General</c:formatCode>
                <c:ptCount val="11"/>
                <c:pt idx="0">
                  <c:v>20344</c:v>
                </c:pt>
                <c:pt idx="1">
                  <c:v>25653</c:v>
                </c:pt>
                <c:pt idx="2">
                  <c:v>35473</c:v>
                </c:pt>
                <c:pt idx="3">
                  <c:v>32847</c:v>
                </c:pt>
                <c:pt idx="4">
                  <c:v>50124</c:v>
                </c:pt>
                <c:pt idx="5">
                  <c:v>26170</c:v>
                </c:pt>
                <c:pt idx="6">
                  <c:v>17760</c:v>
                </c:pt>
                <c:pt idx="7">
                  <c:v>320</c:v>
                </c:pt>
                <c:pt idx="8">
                  <c:v>6240</c:v>
                </c:pt>
                <c:pt idx="9">
                  <c:v>1100</c:v>
                </c:pt>
                <c:pt idx="10">
                  <c:v>370</c:v>
                </c:pt>
              </c:numCache>
            </c:numRef>
          </c:val>
        </c:ser>
        <c:dLbls>
          <c:showLegendKey val="0"/>
          <c:showVal val="0"/>
          <c:showCatName val="0"/>
          <c:showSerName val="0"/>
          <c:showPercent val="0"/>
          <c:showBubbleSize val="0"/>
        </c:dLbls>
        <c:gapWidth val="219"/>
        <c:overlap val="-27"/>
        <c:axId val="318635064"/>
        <c:axId val="318641728"/>
      </c:barChart>
      <c:catAx>
        <c:axId val="318635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641728"/>
        <c:crosses val="autoZero"/>
        <c:auto val="1"/>
        <c:lblAlgn val="ctr"/>
        <c:lblOffset val="100"/>
        <c:noMultiLvlLbl val="0"/>
      </c:catAx>
      <c:valAx>
        <c:axId val="318641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6350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[sales_analysis_dashboard.xlsx]الأداء حسب فئة المنتج!PivotTable4</c:name>
    <c:fmtId val="3"/>
  </c:pivotSource>
  <c:chart>
    <c:autoTitleDeleted val="0"/>
    <c:pivotFmts>
      <c:pivotFmt>
        <c:idx val="0"/>
      </c:pivotFmt>
      <c:pivotFmt>
        <c:idx val="1"/>
      </c:pivotFmt>
      <c:pivotFmt>
        <c:idx val="2"/>
      </c:pivotFmt>
      <c:pivotFmt>
        <c:idx val="3"/>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s>
    <c:plotArea>
      <c:layout/>
      <c:barChart>
        <c:barDir val="col"/>
        <c:grouping val="clustered"/>
        <c:varyColors val="0"/>
        <c:ser>
          <c:idx val="0"/>
          <c:order val="0"/>
          <c:tx>
            <c:strRef>
              <c:f>'الأداء حسب فئة المنتج'!$B$1</c:f>
              <c:strCache>
                <c:ptCount val="1"/>
                <c:pt idx="0">
                  <c:v>Sum of Total Sales</c:v>
                </c:pt>
              </c:strCache>
            </c:strRef>
          </c:tx>
          <c:spPr>
            <a:solidFill>
              <a:schemeClr val="accent1"/>
            </a:solidFill>
            <a:ln>
              <a:noFill/>
            </a:ln>
            <a:effectLst/>
          </c:spPr>
          <c:invertIfNegative val="0"/>
          <c:cat>
            <c:strRef>
              <c:f>'الأداء حسب فئة المنتج'!$A$2:$A$6</c:f>
              <c:strCache>
                <c:ptCount val="4"/>
                <c:pt idx="0">
                  <c:v>أجهزة منزلية</c:v>
                </c:pt>
                <c:pt idx="1">
                  <c:v>إلكترونيات</c:v>
                </c:pt>
                <c:pt idx="2">
                  <c:v>مستلزمات المنزل</c:v>
                </c:pt>
                <c:pt idx="3">
                  <c:v>ملابس</c:v>
                </c:pt>
              </c:strCache>
            </c:strRef>
          </c:cat>
          <c:val>
            <c:numRef>
              <c:f>'الأداء حسب فئة المنتج'!$B$2:$B$6</c:f>
              <c:numCache>
                <c:formatCode>General</c:formatCode>
                <c:ptCount val="4"/>
                <c:pt idx="0">
                  <c:v>72330</c:v>
                </c:pt>
                <c:pt idx="1">
                  <c:v>71526</c:v>
                </c:pt>
                <c:pt idx="2">
                  <c:v>41860</c:v>
                </c:pt>
                <c:pt idx="3">
                  <c:v>30685</c:v>
                </c:pt>
              </c:numCache>
            </c:numRef>
          </c:val>
        </c:ser>
        <c:ser>
          <c:idx val="1"/>
          <c:order val="1"/>
          <c:tx>
            <c:strRef>
              <c:f>'الأداء حسب فئة المنتج'!$C$1</c:f>
              <c:strCache>
                <c:ptCount val="1"/>
                <c:pt idx="0">
                  <c:v>Sum of Profit</c:v>
                </c:pt>
              </c:strCache>
            </c:strRef>
          </c:tx>
          <c:spPr>
            <a:solidFill>
              <a:schemeClr val="accent2"/>
            </a:solidFill>
            <a:ln>
              <a:noFill/>
            </a:ln>
            <a:effectLst/>
          </c:spPr>
          <c:invertIfNegative val="0"/>
          <c:cat>
            <c:strRef>
              <c:f>'الأداء حسب فئة المنتج'!$A$2:$A$6</c:f>
              <c:strCache>
                <c:ptCount val="4"/>
                <c:pt idx="0">
                  <c:v>أجهزة منزلية</c:v>
                </c:pt>
                <c:pt idx="1">
                  <c:v>إلكترونيات</c:v>
                </c:pt>
                <c:pt idx="2">
                  <c:v>مستلزمات المنزل</c:v>
                </c:pt>
                <c:pt idx="3">
                  <c:v>ملابس</c:v>
                </c:pt>
              </c:strCache>
            </c:strRef>
          </c:cat>
          <c:val>
            <c:numRef>
              <c:f>'الأداء حسب فئة المنتج'!$C$2:$C$6</c:f>
              <c:numCache>
                <c:formatCode>General</c:formatCode>
                <c:ptCount val="4"/>
                <c:pt idx="0">
                  <c:v>22165</c:v>
                </c:pt>
                <c:pt idx="1">
                  <c:v>22513</c:v>
                </c:pt>
                <c:pt idx="2">
                  <c:v>16944</c:v>
                </c:pt>
                <c:pt idx="3">
                  <c:v>13650</c:v>
                </c:pt>
              </c:numCache>
            </c:numRef>
          </c:val>
        </c:ser>
        <c:ser>
          <c:idx val="2"/>
          <c:order val="2"/>
          <c:tx>
            <c:strRef>
              <c:f>'الأداء حسب فئة المنتج'!$D$1</c:f>
              <c:strCache>
                <c:ptCount val="1"/>
                <c:pt idx="0">
                  <c:v>Sum of Profit Margin</c:v>
                </c:pt>
              </c:strCache>
            </c:strRef>
          </c:tx>
          <c:spPr>
            <a:solidFill>
              <a:schemeClr val="accent3"/>
            </a:solidFill>
            <a:ln>
              <a:noFill/>
            </a:ln>
            <a:effectLst/>
          </c:spPr>
          <c:invertIfNegative val="0"/>
          <c:cat>
            <c:strRef>
              <c:f>'الأداء حسب فئة المنتج'!$A$2:$A$6</c:f>
              <c:strCache>
                <c:ptCount val="4"/>
                <c:pt idx="0">
                  <c:v>أجهزة منزلية</c:v>
                </c:pt>
                <c:pt idx="1">
                  <c:v>إلكترونيات</c:v>
                </c:pt>
                <c:pt idx="2">
                  <c:v>مستلزمات المنزل</c:v>
                </c:pt>
                <c:pt idx="3">
                  <c:v>ملابس</c:v>
                </c:pt>
              </c:strCache>
            </c:strRef>
          </c:cat>
          <c:val>
            <c:numRef>
              <c:f>'الأداء حسب فئة المنتج'!$D$2:$D$6</c:f>
              <c:numCache>
                <c:formatCode>_("$"* #,##0.00_);_("$"* \(#,##0.00\);_("$"* "-"??_);_(@_)</c:formatCode>
                <c:ptCount val="4"/>
                <c:pt idx="0">
                  <c:v>16.707588245386436</c:v>
                </c:pt>
                <c:pt idx="1">
                  <c:v>17.803088780936392</c:v>
                </c:pt>
                <c:pt idx="2">
                  <c:v>19.446851738193953</c:v>
                </c:pt>
                <c:pt idx="3">
                  <c:v>20.846022867138732</c:v>
                </c:pt>
              </c:numCache>
            </c:numRef>
          </c:val>
        </c:ser>
        <c:dLbls>
          <c:showLegendKey val="0"/>
          <c:showVal val="0"/>
          <c:showCatName val="0"/>
          <c:showSerName val="0"/>
          <c:showPercent val="0"/>
          <c:showBubbleSize val="0"/>
        </c:dLbls>
        <c:gapWidth val="219"/>
        <c:overlap val="-27"/>
        <c:axId val="318633888"/>
        <c:axId val="318635456"/>
      </c:barChart>
      <c:catAx>
        <c:axId val="31863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635456"/>
        <c:crosses val="autoZero"/>
        <c:auto val="1"/>
        <c:lblAlgn val="ctr"/>
        <c:lblOffset val="100"/>
        <c:noMultiLvlLbl val="0"/>
      </c:catAx>
      <c:valAx>
        <c:axId val="318635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6338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[sales_analysis_dashboard.xlsx]تحليل المناطق!PivotTable6</c:name>
    <c:fmtId val="21"/>
  </c:pivotSource>
  <c:chart>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'تحليل المناطق'!$B$1</c:f>
              <c:strCache>
                <c:ptCount val="1"/>
                <c:pt idx="0">
                  <c:v>Sum of Total Sales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'تحليل المناطق'!$A$2:$A$6</c:f>
              <c:strCache>
                <c:ptCount val="4"/>
                <c:pt idx="0">
                  <c:v>الرياض</c:v>
                </c:pt>
                <c:pt idx="1">
                  <c:v>جدة</c:v>
                </c:pt>
                <c:pt idx="2">
                  <c:v>الدمام</c:v>
                </c:pt>
                <c:pt idx="3">
                  <c:v>مكة</c:v>
                </c:pt>
              </c:strCache>
            </c:strRef>
          </c:cat>
          <c:val>
            <c:numRef>
              <c:f>'تحليل المناطق'!$B$2:$B$6</c:f>
              <c:numCache>
                <c:formatCode>General</c:formatCode>
                <c:ptCount val="4"/>
                <c:pt idx="0">
                  <c:v>82551</c:v>
                </c:pt>
                <c:pt idx="1">
                  <c:v>74860</c:v>
                </c:pt>
                <c:pt idx="2">
                  <c:v>43410</c:v>
                </c:pt>
                <c:pt idx="3">
                  <c:v>15580</c:v>
                </c:pt>
              </c:numCache>
            </c:numRef>
          </c:val>
        </c:ser>
        <c:ser>
          <c:idx val="1"/>
          <c:order val="1"/>
          <c:tx>
            <c:strRef>
              <c:f>'تحليل المناطق'!$C$1</c:f>
              <c:strCache>
                <c:ptCount val="1"/>
                <c:pt idx="0">
                  <c:v>Count of Customer Name</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'تحليل المناطق'!$A$2:$A$6</c:f>
              <c:strCache>
                <c:ptCount val="4"/>
                <c:pt idx="0">
                  <c:v>الرياض</c:v>
                </c:pt>
                <c:pt idx="1">
                  <c:v>جدة</c:v>
                </c:pt>
                <c:pt idx="2">
                  <c:v>الدمام</c:v>
                </c:pt>
                <c:pt idx="3">
                  <c:v>مكة</c:v>
                </c:pt>
              </c:strCache>
            </c:strRef>
          </c:cat>
          <c:val>
            <c:numRef>
              <c:f>'تحليل المناطق'!$C$2:$C$6</c:f>
              <c:numCache>
                <c:formatCode>General</c:formatCode>
                <c:ptCount val="4"/>
                <c:pt idx="0">
                  <c:v>74</c:v>
                </c:pt>
                <c:pt idx="1">
                  <c:v>55</c:v>
                </c:pt>
                <c:pt idx="2">
                  <c:v>37</c:v>
                </c:pt>
                <c:pt idx="3">
                  <c:v>18</c:v>
                </c:pt>
              </c:numCache>
            </c:numRef>
          </c:val>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[sales_analysis_dashboard.xlsx]مقارنة قنوات البيع!PivotTable5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SA" sz="1600" b="1" i="0" u="none" strike="noStrike" baseline="0"/>
              <a:t>مقارنة قنوات البيع</a:t>
            </a:r>
            <a:endParaRPr lang="en-US" sz="16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'مقارنة قنوات البيع'!$B$1</c:f>
              <c:strCache>
                <c:ptCount val="1"/>
                <c:pt idx="0">
                  <c:v>Sum of Total Sales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'مقارنة قنوات البيع'!$A$2:$A$4</c:f>
              <c:strCache>
                <c:ptCount val="2"/>
                <c:pt idx="0">
                  <c:v>المعرض</c:v>
                </c:pt>
                <c:pt idx="1">
                  <c:v>عبر الإنترنت</c:v>
                </c:pt>
              </c:strCache>
            </c:strRef>
          </c:cat>
          <c:val>
            <c:numRef>
              <c:f>'مقارنة قنوات البيع'!$B$2:$B$4</c:f>
              <c:numCache>
                <c:formatCode>General</c:formatCode>
                <c:ptCount val="2"/>
                <c:pt idx="0">
                  <c:v>115180</c:v>
                </c:pt>
                <c:pt idx="1">
                  <c:v>101221</c:v>
                </c:pt>
              </c:numCache>
            </c:numRef>
          </c:val>
        </c:ser>
        <c:ser>
          <c:idx val="1"/>
          <c:order val="1"/>
          <c:tx>
            <c:strRef>
              <c:f>'مقارنة قنوات البيع'!$C$1</c:f>
              <c:strCache>
                <c:ptCount val="1"/>
                <c:pt idx="0">
                  <c:v>Average Order Value by chanel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'مقارنة قنوات البيع'!$A$2:$A$4</c:f>
              <c:strCache>
                <c:ptCount val="2"/>
                <c:pt idx="0">
                  <c:v>المعرض</c:v>
                </c:pt>
                <c:pt idx="1">
                  <c:v>عبر الإنترنت</c:v>
                </c:pt>
              </c:strCache>
            </c:strRef>
          </c:cat>
          <c:val>
            <c:numRef>
              <c:f>'مقارنة قنوات البيع'!$C$2:$C$4</c:f>
              <c:numCache>
                <c:formatCode>General</c:formatCode>
                <c:ptCount val="2"/>
                <c:pt idx="0">
                  <c:v>1251.9565217391305</c:v>
                </c:pt>
                <c:pt idx="1">
                  <c:v>1100.2282608695652</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575310</xdr:colOff>
      <xdr:row>6</xdr:row>
      <xdr:rowOff>99060</xdr:rowOff>
    </xdr:from>
    <xdr:to>
      <xdr:col>11</xdr:col>
      <xdr:colOff>270510</xdr:colOff>
      <xdr:row>21</xdr:row>
      <xdr:rowOff>99060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323850</xdr:colOff>
      <xdr:row>0</xdr:row>
      <xdr:rowOff>121920</xdr:rowOff>
    </xdr:from>
    <xdr:to>
      <xdr:col>13</xdr:col>
      <xdr:colOff>525780</xdr:colOff>
      <xdr:row>16</xdr:row>
      <xdr:rowOff>30480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956310</xdr:colOff>
      <xdr:row>6</xdr:row>
      <xdr:rowOff>99060</xdr:rowOff>
    </xdr:from>
    <xdr:to>
      <xdr:col>4</xdr:col>
      <xdr:colOff>281940</xdr:colOff>
      <xdr:row>20</xdr:row>
      <xdr:rowOff>53340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708660</xdr:colOff>
      <xdr:row>21</xdr:row>
      <xdr:rowOff>83820</xdr:rowOff>
    </xdr:from>
    <xdr:to>
      <xdr:col>4</xdr:col>
      <xdr:colOff>662940</xdr:colOff>
      <xdr:row>34</xdr:row>
      <xdr:rowOff>173355</xdr:rowOff>
    </xdr:to>
    <mc:AlternateContent xmlns:mc="http://schemas.openxmlformats.org/markup-compatibility/2006" xmlns:a14="http://schemas.microsoft.com/office/drawing/2010/main">
      <mc:Choice Requires="a14">
        <xdr:graphicFrame macro="">
          <xdr:nvGraphicFramePr>
            <xdr:cNvPr id="3" name="Sales Channel"/>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4572000" y="39243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762000</xdr:colOff>
      <xdr:row>21</xdr:row>
      <xdr:rowOff>76200</xdr:rowOff>
    </xdr:from>
    <xdr:to>
      <xdr:col>6</xdr:col>
      <xdr:colOff>259080</xdr:colOff>
      <xdr:row>34</xdr:row>
      <xdr:rowOff>165735</xdr:rowOff>
    </xdr:to>
    <mc:AlternateContent xmlns:mc="http://schemas.openxmlformats.org/markup-compatibility/2006" xmlns:a14="http://schemas.microsoft.com/office/drawing/2010/main">
      <mc:Choice Requires="a14">
        <xdr:graphicFrame macro="">
          <xdr:nvGraphicFramePr>
            <xdr:cNvPr id="4"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499860" y="39166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297180</xdr:colOff>
      <xdr:row>21</xdr:row>
      <xdr:rowOff>53340</xdr:rowOff>
    </xdr:from>
    <xdr:to>
      <xdr:col>9</xdr:col>
      <xdr:colOff>297180</xdr:colOff>
      <xdr:row>34</xdr:row>
      <xdr:rowOff>142875</xdr:rowOff>
    </xdr:to>
    <mc:AlternateContent xmlns:mc="http://schemas.openxmlformats.org/markup-compatibility/2006" xmlns:a14="http://schemas.microsoft.com/office/drawing/2010/main">
      <mc:Choice Requires="a14">
        <xdr:graphicFrame macro="">
          <xdr:nvGraphicFramePr>
            <xdr:cNvPr id="5"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366760" y="38938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842010</xdr:colOff>
      <xdr:row>9</xdr:row>
      <xdr:rowOff>68580</xdr:rowOff>
    </xdr:from>
    <xdr:to>
      <xdr:col>9</xdr:col>
      <xdr:colOff>201930</xdr:colOff>
      <xdr:row>24</xdr:row>
      <xdr:rowOff>68580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95250</xdr:colOff>
      <xdr:row>6</xdr:row>
      <xdr:rowOff>99060</xdr:rowOff>
    </xdr:from>
    <xdr:to>
      <xdr:col>7</xdr:col>
      <xdr:colOff>331470</xdr:colOff>
      <xdr:row>21</xdr:row>
      <xdr:rowOff>99060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3040380</xdr:colOff>
      <xdr:row>4</xdr:row>
      <xdr:rowOff>0</xdr:rowOff>
    </xdr:from>
    <xdr:to>
      <xdr:col>3</xdr:col>
      <xdr:colOff>91440</xdr:colOff>
      <xdr:row>7</xdr:row>
      <xdr:rowOff>129540</xdr:rowOff>
    </xdr:to>
    <xdr:sp macro="" textlink="'البيانات النظيفة'!$V$4">
      <xdr:nvSpPr>
        <xdr:cNvPr id="2" name="Rectangle 1"/>
        <xdr:cNvSpPr/>
      </xdr:nvSpPr>
      <xdr:spPr>
        <a:xfrm>
          <a:off x="3649980" y="845820"/>
          <a:ext cx="1196340" cy="678180"/>
        </a:xfrm>
        <a:prstGeom prst="rect">
          <a:avLst/>
        </a:prstGeom>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ctr"/>
          <a:fld id="{C8D7D9DF-6681-4BA6-A119-8498ECD1FF02}" type="TxLink">
            <a:rPr lang="en-US" sz="1400" b="1" i="0" u="none" strike="noStrike">
              <a:solidFill>
                <a:schemeClr val="bg2"/>
              </a:solidFill>
              <a:latin typeface="Calibri"/>
              <a:cs typeface="Calibri"/>
            </a:rPr>
            <a:pPr algn="ctr"/>
            <a:t> $216,401.00 </a:t>
          </a:fld>
          <a:endParaRPr lang="en-US" sz="1400" b="1">
            <a:solidFill>
              <a:schemeClr val="bg2"/>
            </a:solidFill>
          </a:endParaRPr>
        </a:p>
      </xdr:txBody>
    </xdr:sp>
    <xdr:clientData/>
  </xdr:twoCellAnchor>
  <xdr:twoCellAnchor>
    <xdr:from>
      <xdr:col>3</xdr:col>
      <xdr:colOff>365760</xdr:colOff>
      <xdr:row>3</xdr:row>
      <xdr:rowOff>160020</xdr:rowOff>
    </xdr:from>
    <xdr:to>
      <xdr:col>5</xdr:col>
      <xdr:colOff>342900</xdr:colOff>
      <xdr:row>7</xdr:row>
      <xdr:rowOff>106680</xdr:rowOff>
    </xdr:to>
    <xdr:sp macro="" textlink="'البيانات النظيفة'!$V$5">
      <xdr:nvSpPr>
        <xdr:cNvPr id="3" name="Rectangle 2"/>
        <xdr:cNvSpPr/>
      </xdr:nvSpPr>
      <xdr:spPr>
        <a:xfrm>
          <a:off x="5120640" y="822960"/>
          <a:ext cx="1196340" cy="678180"/>
        </a:xfrm>
        <a:prstGeom prst="rect">
          <a:avLst/>
        </a:prstGeom>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ctr"/>
          <a:fld id="{25D00E80-5415-4F61-BC40-A6C1AFE4A733}" type="TxLink">
            <a:rPr lang="en-US" sz="1400" b="1" i="0" u="none" strike="noStrike">
              <a:solidFill>
                <a:schemeClr val="bg2"/>
              </a:solidFill>
              <a:latin typeface="Calibri"/>
              <a:cs typeface="Calibri"/>
            </a:rPr>
            <a:pPr algn="ctr"/>
            <a:t> $75,272.00 </a:t>
          </a:fld>
          <a:endParaRPr lang="en-US" sz="1400" b="1">
            <a:solidFill>
              <a:schemeClr val="bg2"/>
            </a:solidFill>
          </a:endParaRPr>
        </a:p>
      </xdr:txBody>
    </xdr:sp>
    <xdr:clientData/>
  </xdr:twoCellAnchor>
  <xdr:twoCellAnchor>
    <xdr:from>
      <xdr:col>5</xdr:col>
      <xdr:colOff>556260</xdr:colOff>
      <xdr:row>3</xdr:row>
      <xdr:rowOff>144780</xdr:rowOff>
    </xdr:from>
    <xdr:to>
      <xdr:col>7</xdr:col>
      <xdr:colOff>533400</xdr:colOff>
      <xdr:row>7</xdr:row>
      <xdr:rowOff>91440</xdr:rowOff>
    </xdr:to>
    <xdr:sp macro="" textlink="'البيانات النظيفة'!$V$6">
      <xdr:nvSpPr>
        <xdr:cNvPr id="4" name="Rectangle 3"/>
        <xdr:cNvSpPr/>
      </xdr:nvSpPr>
      <xdr:spPr>
        <a:xfrm>
          <a:off x="6530340" y="807720"/>
          <a:ext cx="1196340" cy="678180"/>
        </a:xfrm>
        <a:prstGeom prst="rect">
          <a:avLst/>
        </a:prstGeom>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ctr"/>
          <a:fld id="{006E95C8-3A56-4691-8270-79A1D928CBF6}" type="TxLink">
            <a:rPr lang="en-US" sz="1400" b="1" i="0" u="none" strike="noStrike">
              <a:solidFill>
                <a:schemeClr val="bg2"/>
              </a:solidFill>
              <a:latin typeface="Calibri"/>
              <a:cs typeface="Calibri"/>
            </a:rPr>
            <a:pPr algn="ctr"/>
            <a:t> $184.00 </a:t>
          </a:fld>
          <a:endParaRPr lang="en-US" sz="1400" b="1">
            <a:solidFill>
              <a:schemeClr val="bg2"/>
            </a:solidFill>
          </a:endParaRPr>
        </a:p>
      </xdr:txBody>
    </xdr:sp>
    <xdr:clientData/>
  </xdr:twoCellAnchor>
  <xdr:twoCellAnchor>
    <xdr:from>
      <xdr:col>8</xdr:col>
      <xdr:colOff>243840</xdr:colOff>
      <xdr:row>3</xdr:row>
      <xdr:rowOff>121920</xdr:rowOff>
    </xdr:from>
    <xdr:to>
      <xdr:col>10</xdr:col>
      <xdr:colOff>220980</xdr:colOff>
      <xdr:row>7</xdr:row>
      <xdr:rowOff>68580</xdr:rowOff>
    </xdr:to>
    <xdr:sp macro="" textlink="'البيانات النظيفة'!$V$8">
      <xdr:nvSpPr>
        <xdr:cNvPr id="5" name="Rectangle 4"/>
        <xdr:cNvSpPr/>
      </xdr:nvSpPr>
      <xdr:spPr>
        <a:xfrm>
          <a:off x="8046720" y="784860"/>
          <a:ext cx="1196340" cy="678180"/>
        </a:xfrm>
        <a:prstGeom prst="rect">
          <a:avLst/>
        </a:prstGeom>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ctr"/>
          <a:fld id="{1A7B604C-97CB-4F9E-BEC4-13717CB610F2}" type="TxLink">
            <a:rPr lang="en-US" sz="1400" b="1" i="0" u="none" strike="noStrike">
              <a:solidFill>
                <a:schemeClr val="bg2"/>
              </a:solidFill>
              <a:latin typeface="Calibri"/>
              <a:cs typeface="Calibri"/>
            </a:rPr>
            <a:pPr algn="ctr"/>
            <a:t> $1,176.09 </a:t>
          </a:fld>
          <a:endParaRPr lang="en-US" sz="1400" b="1">
            <a:solidFill>
              <a:schemeClr val="bg2"/>
            </a:solidFill>
          </a:endParaRPr>
        </a:p>
      </xdr:txBody>
    </xdr:sp>
    <xdr:clientData/>
  </xdr:twoCellAnchor>
  <xdr:oneCellAnchor>
    <xdr:from>
      <xdr:col>1</xdr:col>
      <xdr:colOff>3246120</xdr:colOff>
      <xdr:row>6</xdr:row>
      <xdr:rowOff>15240</xdr:rowOff>
    </xdr:from>
    <xdr:ext cx="943720" cy="264560"/>
    <xdr:sp macro="" textlink="">
      <xdr:nvSpPr>
        <xdr:cNvPr id="6" name="TextBox 5"/>
        <xdr:cNvSpPr txBox="1"/>
      </xdr:nvSpPr>
      <xdr:spPr>
        <a:xfrm>
          <a:off x="3855720" y="1226820"/>
          <a:ext cx="94372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ar-SA" b="1">
              <a:solidFill>
                <a:schemeClr val="bg2"/>
              </a:solidFill>
            </a:rPr>
            <a:t>إجمالي الإيرادات</a:t>
          </a:r>
          <a:endParaRPr lang="en-US" sz="1100" b="1">
            <a:solidFill>
              <a:schemeClr val="bg2"/>
            </a:solidFill>
          </a:endParaRPr>
        </a:p>
      </xdr:txBody>
    </xdr:sp>
    <xdr:clientData/>
  </xdr:oneCellAnchor>
  <xdr:oneCellAnchor>
    <xdr:from>
      <xdr:col>3</xdr:col>
      <xdr:colOff>419100</xdr:colOff>
      <xdr:row>5</xdr:row>
      <xdr:rowOff>91440</xdr:rowOff>
    </xdr:from>
    <xdr:ext cx="949234" cy="282450"/>
    <xdr:sp macro="" textlink="">
      <xdr:nvSpPr>
        <xdr:cNvPr id="8" name="TextBox 7"/>
        <xdr:cNvSpPr txBox="1"/>
      </xdr:nvSpPr>
      <xdr:spPr>
        <a:xfrm>
          <a:off x="5173980" y="1120140"/>
          <a:ext cx="949234" cy="282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b="1">
              <a:solidFill>
                <a:schemeClr val="bg2"/>
              </a:solidFill>
            </a:rPr>
            <a:t>💰 </a:t>
          </a:r>
          <a:r>
            <a:rPr lang="ar-SA" b="1">
              <a:solidFill>
                <a:schemeClr val="bg2"/>
              </a:solidFill>
            </a:rPr>
            <a:t>إجمالي الربح</a:t>
          </a:r>
          <a:endParaRPr lang="en-US" sz="1100" b="1">
            <a:solidFill>
              <a:schemeClr val="bg2"/>
            </a:solidFill>
          </a:endParaRPr>
        </a:p>
      </xdr:txBody>
    </xdr:sp>
    <xdr:clientData/>
  </xdr:oneCellAnchor>
  <xdr:oneCellAnchor>
    <xdr:from>
      <xdr:col>6</xdr:col>
      <xdr:colOff>137160</xdr:colOff>
      <xdr:row>5</xdr:row>
      <xdr:rowOff>114300</xdr:rowOff>
    </xdr:from>
    <xdr:ext cx="903068" cy="282450"/>
    <xdr:sp macro="" textlink="">
      <xdr:nvSpPr>
        <xdr:cNvPr id="9" name="TextBox 8"/>
        <xdr:cNvSpPr txBox="1"/>
      </xdr:nvSpPr>
      <xdr:spPr>
        <a:xfrm>
          <a:off x="6720840" y="1143000"/>
          <a:ext cx="903068" cy="282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b="1">
              <a:solidFill>
                <a:schemeClr val="bg2"/>
              </a:solidFill>
            </a:rPr>
            <a:t>📦 </a:t>
          </a:r>
          <a:r>
            <a:rPr lang="ar-SA" b="1">
              <a:solidFill>
                <a:schemeClr val="bg2"/>
              </a:solidFill>
            </a:rPr>
            <a:t>عدد الطلبات</a:t>
          </a:r>
          <a:endParaRPr lang="en-US" sz="1100" b="1">
            <a:solidFill>
              <a:schemeClr val="bg2"/>
            </a:solidFill>
          </a:endParaRPr>
        </a:p>
      </xdr:txBody>
    </xdr:sp>
    <xdr:clientData/>
  </xdr:oneCellAnchor>
  <xdr:oneCellAnchor>
    <xdr:from>
      <xdr:col>8</xdr:col>
      <xdr:colOff>190500</xdr:colOff>
      <xdr:row>5</xdr:row>
      <xdr:rowOff>114300</xdr:rowOff>
    </xdr:from>
    <xdr:ext cx="1216743" cy="282450"/>
    <xdr:sp macro="" textlink="">
      <xdr:nvSpPr>
        <xdr:cNvPr id="10" name="TextBox 9"/>
        <xdr:cNvSpPr txBox="1"/>
      </xdr:nvSpPr>
      <xdr:spPr>
        <a:xfrm>
          <a:off x="7993380" y="1143000"/>
          <a:ext cx="1216743" cy="282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b="1">
              <a:solidFill>
                <a:schemeClr val="bg2"/>
              </a:solidFill>
            </a:rPr>
            <a:t>💵 </a:t>
          </a:r>
          <a:r>
            <a:rPr lang="ar-SA" b="1">
              <a:solidFill>
                <a:schemeClr val="bg2"/>
              </a:solidFill>
            </a:rPr>
            <a:t>متوسط قيمة الطلب</a:t>
          </a:r>
          <a:endParaRPr lang="en-US" sz="1100" b="1">
            <a:solidFill>
              <a:schemeClr val="bg2"/>
            </a:solidFill>
          </a:endParaRPr>
        </a:p>
      </xdr:txBody>
    </xdr:sp>
    <xdr:clientData/>
  </xdr:oneCellAnchor>
  <xdr:twoCellAnchor>
    <xdr:from>
      <xdr:col>1</xdr:col>
      <xdr:colOff>716280</xdr:colOff>
      <xdr:row>8</xdr:row>
      <xdr:rowOff>53340</xdr:rowOff>
    </xdr:from>
    <xdr:to>
      <xdr:col>4</xdr:col>
      <xdr:colOff>533400</xdr:colOff>
      <xdr:row>23</xdr:row>
      <xdr:rowOff>53340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586740</xdr:colOff>
      <xdr:row>8</xdr:row>
      <xdr:rowOff>68580</xdr:rowOff>
    </xdr:from>
    <xdr:to>
      <xdr:col>12</xdr:col>
      <xdr:colOff>118110</xdr:colOff>
      <xdr:row>23</xdr:row>
      <xdr:rowOff>60960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731520</xdr:colOff>
      <xdr:row>23</xdr:row>
      <xdr:rowOff>137160</xdr:rowOff>
    </xdr:from>
    <xdr:to>
      <xdr:col>4</xdr:col>
      <xdr:colOff>502920</xdr:colOff>
      <xdr:row>37</xdr:row>
      <xdr:rowOff>68580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76200</xdr:colOff>
      <xdr:row>23</xdr:row>
      <xdr:rowOff>129540</xdr:rowOff>
    </xdr:from>
    <xdr:to>
      <xdr:col>12</xdr:col>
      <xdr:colOff>11430</xdr:colOff>
      <xdr:row>37</xdr:row>
      <xdr:rowOff>83820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320040</xdr:colOff>
      <xdr:row>31</xdr:row>
      <xdr:rowOff>30480</xdr:rowOff>
    </xdr:from>
    <xdr:to>
      <xdr:col>15</xdr:col>
      <xdr:colOff>320040</xdr:colOff>
      <xdr:row>44</xdr:row>
      <xdr:rowOff>120015</xdr:rowOff>
    </xdr:to>
    <mc:AlternateContent xmlns:mc="http://schemas.openxmlformats.org/markup-compatibility/2006" xmlns:a14="http://schemas.microsoft.com/office/drawing/2010/main">
      <mc:Choice Requires="a14">
        <xdr:graphicFrame macro="">
          <xdr:nvGraphicFramePr>
            <xdr:cNvPr id="15" name="Sales Channel 1"/>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10561320" y="58140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518160</xdr:colOff>
      <xdr:row>31</xdr:row>
      <xdr:rowOff>45720</xdr:rowOff>
    </xdr:from>
    <xdr:to>
      <xdr:col>18</xdr:col>
      <xdr:colOff>518160</xdr:colOff>
      <xdr:row>44</xdr:row>
      <xdr:rowOff>135255</xdr:rowOff>
    </xdr:to>
    <mc:AlternateContent xmlns:mc="http://schemas.openxmlformats.org/markup-compatibility/2006" xmlns:a14="http://schemas.microsoft.com/office/drawing/2010/main">
      <mc:Choice Requires="a14">
        <xdr:graphicFrame macro="">
          <xdr:nvGraphicFramePr>
            <xdr:cNvPr id="16"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588240" y="58293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160020</xdr:colOff>
      <xdr:row>20</xdr:row>
      <xdr:rowOff>76200</xdr:rowOff>
    </xdr:from>
    <xdr:to>
      <xdr:col>22</xdr:col>
      <xdr:colOff>160020</xdr:colOff>
      <xdr:row>33</xdr:row>
      <xdr:rowOff>165735</xdr:rowOff>
    </xdr:to>
    <mc:AlternateContent xmlns:mc="http://schemas.openxmlformats.org/markup-compatibility/2006" xmlns:a14="http://schemas.microsoft.com/office/drawing/2010/main">
      <mc:Choice Requires="a14">
        <xdr:graphicFrame macro="">
          <xdr:nvGraphicFramePr>
            <xdr:cNvPr id="17" name="Month 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4668500" y="38481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aha" refreshedDate="46300.667966550929" createdVersion="5" refreshedVersion="5" minRefreshableVersion="3" recordCount="184">
  <cacheSource type="worksheet">
    <worksheetSource name="Table1"/>
  </cacheSource>
  <cacheFields count="18">
    <cacheField name="Order ID" numFmtId="0">
      <sharedItems/>
    </cacheField>
    <cacheField name="Order Date" numFmtId="14">
      <sharedItems containsSemiMixedTypes="0" containsNonDate="0" containsDate="1" containsString="0" minDate="2025-01-15T00:00:00" maxDate="2025-12-04T00:00:00"/>
    </cacheField>
    <cacheField name="Customer Name" numFmtId="49">
      <sharedItems/>
    </cacheField>
    <cacheField name="Region" numFmtId="49">
      <sharedItems count="5">
        <s v="الرياض"/>
        <s v="جدة"/>
        <s v="الدمام"/>
        <s v="مكة"/>
        <s v="الرياض " u="1"/>
      </sharedItems>
    </cacheField>
    <cacheField name="Customer Type" numFmtId="49">
      <sharedItems count="3">
        <s v="عائد"/>
        <s v="جديدة"/>
        <s v="غير محدد"/>
      </sharedItems>
    </cacheField>
    <cacheField name="Sales Channel" numFmtId="49">
      <sharedItems count="2">
        <s v="عبر الإنترنت"/>
        <s v="المعرض"/>
      </sharedItems>
    </cacheField>
    <cacheField name="Category" numFmtId="49">
      <sharedItems count="4">
        <s v="إلكترونيات"/>
        <s v="ملابس"/>
        <s v="أجهزة منزلية"/>
        <s v="مستلزمات المنزل"/>
      </sharedItems>
    </cacheField>
    <cacheField name="Product Name" numFmtId="49">
      <sharedItems/>
    </cacheField>
    <cacheField name="Quantity" numFmtId="0">
      <sharedItems containsSemiMixedTypes="0" containsString="0" containsNumber="1" containsInteger="1" minValue="1" maxValue="12"/>
    </cacheField>
    <cacheField name="Unit Price" numFmtId="44">
      <sharedItems containsSemiMixedTypes="0" containsString="0" containsNumber="1" containsInteger="1" minValue="40" maxValue="5200"/>
    </cacheField>
    <cacheField name="Unit Cost" numFmtId="44">
      <sharedItems containsSemiMixedTypes="0" containsString="0" containsNumber="1" containsInteger="1" minValue="18" maxValue="3800"/>
    </cacheField>
    <cacheField name="Total Sales" numFmtId="44">
      <sharedItems containsSemiMixedTypes="0" containsString="0" containsNumber="1" containsInteger="1" minValue="240" maxValue="5200"/>
    </cacheField>
    <cacheField name="Order Status" numFmtId="0">
      <sharedItems/>
    </cacheField>
    <cacheField name="Profit" numFmtId="44">
      <sharedItems containsSemiMixedTypes="0" containsString="0" containsNumber="1" containsInteger="1" minValue="110" maxValue="1400"/>
    </cacheField>
    <cacheField name="Profit Margin" numFmtId="9">
      <sharedItems containsSemiMixedTypes="0" containsString="0" containsNumber="1" minValue="0.19977136324664191" maxValue="0.55555555555555558"/>
    </cacheField>
    <cacheField name="Month" numFmtId="44">
      <sharedItems count="11">
        <s v="January"/>
        <s v="February"/>
        <s v="June"/>
        <s v="October"/>
        <s v="March"/>
        <s v="May"/>
        <s v="August"/>
        <s v="December"/>
        <s v="April"/>
        <s v="November"/>
        <s v="July"/>
      </sharedItems>
    </cacheField>
    <cacheField name="Quarter" numFmtId="0">
      <sharedItems/>
    </cacheField>
    <cacheField name="Average Order Value" numFmtId="0" formula="'Total Sales'/'Order ID'"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84">
  <r>
    <s v="ORD-001"/>
    <d v="2025-01-15T00:00:00"/>
    <s v="أحمد محمد"/>
    <x v="0"/>
    <x v="0"/>
    <x v="0"/>
    <x v="0"/>
    <s v="هاتف ذكي متطور"/>
    <n v="1"/>
    <n v="3499"/>
    <n v="2800"/>
    <n v="3499"/>
    <s v="مكتمل"/>
    <n v="699"/>
    <n v="0.19977136324664191"/>
    <x v="0"/>
    <s v="الربع 1"/>
  </r>
  <r>
    <s v="ORD-002"/>
    <d v="2025-01-16T00:00:00"/>
    <s v="سارة علي"/>
    <x v="1"/>
    <x v="1"/>
    <x v="1"/>
    <x v="1"/>
    <s v="عباءة عصرية"/>
    <n v="2"/>
    <n v="250"/>
    <n v="120"/>
    <n v="500"/>
    <s v="مكتمل"/>
    <n v="260"/>
    <n v="0.52"/>
    <x v="0"/>
    <s v="الربع 1"/>
  </r>
  <r>
    <s v="ORD-003"/>
    <d v="2025-01-17T00:00:00"/>
    <s v="فهد عبدالله"/>
    <x v="2"/>
    <x v="0"/>
    <x v="0"/>
    <x v="2"/>
    <s v="مكواة بخار"/>
    <n v="1"/>
    <n v="450"/>
    <n v="280"/>
    <n v="450"/>
    <s v="مكتمل"/>
    <n v="170"/>
    <n v="0.37777777777777777"/>
    <x v="0"/>
    <s v="الربع 1"/>
  </r>
  <r>
    <s v="ORD-004"/>
    <d v="2025-01-18T00:00:00"/>
    <s v="نورة أحمد"/>
    <x v="0"/>
    <x v="1"/>
    <x v="1"/>
    <x v="0"/>
    <s v="سماعة رأس لاسلكية"/>
    <n v="3"/>
    <n v="350"/>
    <n v="180"/>
    <n v="1050"/>
    <s v="مكتمل"/>
    <n v="510"/>
    <n v="0.48571428571428571"/>
    <x v="0"/>
    <s v="الربع 1"/>
  </r>
  <r>
    <s v="ORD-005"/>
    <d v="2025-01-20T00:00:00"/>
    <s v="خالد سالم"/>
    <x v="3"/>
    <x v="0"/>
    <x v="0"/>
    <x v="3"/>
    <s v="سجادة عصرية"/>
    <n v="1"/>
    <n v="890"/>
    <n v="520"/>
    <n v="890"/>
    <s v="مكتمل"/>
    <n v="370"/>
    <n v="0.4157303370786517"/>
    <x v="0"/>
    <s v="الربع 1"/>
  </r>
  <r>
    <s v="ORD-006"/>
    <d v="2025-01-21T00:00:00"/>
    <s v="منى حسن"/>
    <x v="0"/>
    <x v="0"/>
    <x v="1"/>
    <x v="1"/>
    <s v="فستان سهرة"/>
    <n v="1"/>
    <n v="780"/>
    <n v="400"/>
    <n v="780"/>
    <s v="مكتمل"/>
    <n v="380"/>
    <n v="0.48717948717948717"/>
    <x v="0"/>
    <s v="الربع 1"/>
  </r>
  <r>
    <s v="ORD-007"/>
    <d v="2025-01-22T00:00:00"/>
    <s v="بدر فهد"/>
    <x v="1"/>
    <x v="2"/>
    <x v="0"/>
    <x v="0"/>
    <s v="كمبيوتر محمول"/>
    <n v="1"/>
    <n v="4200"/>
    <n v="3100"/>
    <n v="4200"/>
    <s v="مكتمل"/>
    <n v="1100"/>
    <n v="0.26190476190476192"/>
    <x v="0"/>
    <s v="الربع 1"/>
  </r>
  <r>
    <s v="ORD-008"/>
    <d v="2025-01-23T00:00:00"/>
    <s v="شهد علي"/>
    <x v="2"/>
    <x v="1"/>
    <x v="1"/>
    <x v="2"/>
    <s v="مروحة سقف"/>
    <n v="2"/>
    <n v="320"/>
    <n v="190"/>
    <n v="640"/>
    <s v="مكتمل"/>
    <n v="260"/>
    <n v="0.40625"/>
    <x v="0"/>
    <s v="الربع 1"/>
  </r>
  <r>
    <s v="ORD-009"/>
    <d v="2025-01-24T00:00:00"/>
    <s v="محمد علي"/>
    <x v="0"/>
    <x v="0"/>
    <x v="0"/>
    <x v="1"/>
    <s v="بدلة رسمية"/>
    <n v="1"/>
    <n v="950"/>
    <n v="550"/>
    <n v="950"/>
    <s v="مكتمل"/>
    <n v="400"/>
    <n v="0.42105263157894735"/>
    <x v="0"/>
    <s v="الربع 1"/>
  </r>
  <r>
    <s v="ORD-010"/>
    <d v="2025-01-25T00:00:00"/>
    <s v="ديما سلمان"/>
    <x v="1"/>
    <x v="1"/>
    <x v="1"/>
    <x v="3"/>
    <s v="طاولة طعام"/>
    <n v="1"/>
    <n v="1500"/>
    <n v="980"/>
    <n v="1500"/>
    <s v="مكتمل"/>
    <n v="520"/>
    <n v="0.34666666666666668"/>
    <x v="0"/>
    <s v="الربع 1"/>
  </r>
  <r>
    <s v="ORD-011"/>
    <d v="2025-01-26T00:00:00"/>
    <s v="أحمد محمد"/>
    <x v="0"/>
    <x v="0"/>
    <x v="0"/>
    <x v="0"/>
    <s v="شاحن سريع"/>
    <n v="2"/>
    <n v="120"/>
    <n v="65"/>
    <n v="240"/>
    <s v="مكتمل"/>
    <n v="110"/>
    <n v="0.45833333333333331"/>
    <x v="0"/>
    <s v="الربع 1"/>
  </r>
  <r>
    <s v="ORD-012"/>
    <d v="2025-01-27T00:00:00"/>
    <s v="سارة علي"/>
    <x v="1"/>
    <x v="1"/>
    <x v="1"/>
    <x v="2"/>
    <s v="مكنسة كهربائية"/>
    <n v="1"/>
    <n v="1250"/>
    <n v="790"/>
    <n v="1250"/>
    <s v="مكتمل"/>
    <n v="460"/>
    <n v="0.36799999999999999"/>
    <x v="0"/>
    <s v="الربع 1"/>
  </r>
  <r>
    <s v="ORD-013"/>
    <d v="2025-01-28T00:00:00"/>
    <s v="فهد عبدالله"/>
    <x v="2"/>
    <x v="0"/>
    <x v="0"/>
    <x v="1"/>
    <s v="قميص قطني"/>
    <n v="3"/>
    <n v="85"/>
    <n v="40"/>
    <n v="255"/>
    <s v="مكتمل"/>
    <n v="135"/>
    <n v="0.52941176470588236"/>
    <x v="0"/>
    <s v="الربع 1"/>
  </r>
  <r>
    <s v="ORD-014"/>
    <d v="2025-01-29T00:00:00"/>
    <s v="نورة أحمد"/>
    <x v="0"/>
    <x v="1"/>
    <x v="1"/>
    <x v="3"/>
    <s v="ستائر نافذة"/>
    <n v="4"/>
    <n v="210"/>
    <n v="120"/>
    <n v="840"/>
    <s v="مكتمل"/>
    <n v="360"/>
    <n v="0.42857142857142855"/>
    <x v="0"/>
    <s v="الربع 1"/>
  </r>
  <r>
    <s v="ORD-015"/>
    <d v="2025-01-30T00:00:00"/>
    <s v="خالد سالم"/>
    <x v="3"/>
    <x v="0"/>
    <x v="0"/>
    <x v="0"/>
    <s v="ساعة ذكية"/>
    <n v="1"/>
    <n v="1200"/>
    <n v="850"/>
    <n v="1200"/>
    <s v="مكتمل"/>
    <n v="350"/>
    <n v="0.29166666666666669"/>
    <x v="0"/>
    <s v="الربع 1"/>
  </r>
  <r>
    <s v="ORD-016"/>
    <d v="2025-01-31T00:00:00"/>
    <s v="منى حسن"/>
    <x v="0"/>
    <x v="0"/>
    <x v="1"/>
    <x v="2"/>
    <s v="ثلاجة صغيرة"/>
    <n v="1"/>
    <n v="2100"/>
    <n v="1500"/>
    <n v="2100"/>
    <s v="مكتمل"/>
    <n v="600"/>
    <n v="0.2857142857142857"/>
    <x v="0"/>
    <s v="الربع 1"/>
  </r>
  <r>
    <s v="ORD-017"/>
    <d v="2025-02-01T00:00:00"/>
    <s v="بدر فهد"/>
    <x v="1"/>
    <x v="1"/>
    <x v="0"/>
    <x v="1"/>
    <s v="حذاء رياضي"/>
    <n v="2"/>
    <n v="320"/>
    <n v="180"/>
    <n v="640"/>
    <s v="مكتمل"/>
    <n v="280"/>
    <n v="0.4375"/>
    <x v="1"/>
    <s v="الربع 1"/>
  </r>
  <r>
    <s v="ORD-018"/>
    <d v="2025-02-02T00:00:00"/>
    <s v="شهد علي"/>
    <x v="2"/>
    <x v="1"/>
    <x v="1"/>
    <x v="3"/>
    <s v="مفرش سرير"/>
    <n v="2"/>
    <n v="450"/>
    <n v="250"/>
    <n v="900"/>
    <s v="مكتمل"/>
    <n v="400"/>
    <n v="0.44444444444444442"/>
    <x v="1"/>
    <s v="الربع 1"/>
  </r>
  <r>
    <s v="ORD-019"/>
    <d v="2025-02-03T00:00:00"/>
    <s v="محمد علي"/>
    <x v="0"/>
    <x v="0"/>
    <x v="0"/>
    <x v="0"/>
    <s v="كاميرا رقمية"/>
    <n v="1"/>
    <n v="2800"/>
    <n v="1900"/>
    <n v="2800"/>
    <s v="مكتمل"/>
    <n v="900"/>
    <n v="0.32142857142857145"/>
    <x v="1"/>
    <s v="الربع 1"/>
  </r>
  <r>
    <s v="ORD-020"/>
    <d v="2025-02-04T00:00:00"/>
    <s v="ديما سلمان"/>
    <x v="1"/>
    <x v="1"/>
    <x v="1"/>
    <x v="2"/>
    <s v="غسالة ملابس"/>
    <n v="1"/>
    <n v="3200"/>
    <n v="2400"/>
    <n v="3200"/>
    <s v="مكتمل"/>
    <n v="800"/>
    <n v="0.25"/>
    <x v="1"/>
    <s v="الربع 1"/>
  </r>
  <r>
    <s v="ORD-021"/>
    <d v="2025-02-05T00:00:00"/>
    <s v="أحمد محمد"/>
    <x v="0"/>
    <x v="0"/>
    <x v="0"/>
    <x v="1"/>
    <s v="معطف شتوي"/>
    <n v="1"/>
    <n v="650"/>
    <n v="380"/>
    <n v="650"/>
    <s v="مكتمل"/>
    <n v="270"/>
    <n v="0.41538461538461541"/>
    <x v="1"/>
    <s v="الربع 1"/>
  </r>
  <r>
    <s v="ORD-022"/>
    <d v="2025-06-02T00:00:00"/>
    <s v="سارة علي"/>
    <x v="1"/>
    <x v="2"/>
    <x v="1"/>
    <x v="3"/>
    <s v="أواني مطبخ"/>
    <n v="5"/>
    <n v="180"/>
    <n v="95"/>
    <n v="900"/>
    <s v="مكتمل"/>
    <n v="425"/>
    <n v="0.47222222222222221"/>
    <x v="2"/>
    <s v="الربع 2"/>
  </r>
  <r>
    <s v="ORD-023"/>
    <d v="2025-02-07T00:00:00"/>
    <s v="فهد عبدالله"/>
    <x v="2"/>
    <x v="0"/>
    <x v="0"/>
    <x v="0"/>
    <s v="سماعة أذن"/>
    <n v="2"/>
    <n v="199"/>
    <n v="99"/>
    <n v="398"/>
    <s v="مكتمل"/>
    <n v="200"/>
    <n v="0.50251256281407031"/>
    <x v="1"/>
    <s v="الربع 1"/>
  </r>
  <r>
    <s v="ORD-024"/>
    <d v="2025-02-08T00:00:00"/>
    <s v="نورة أحمد"/>
    <x v="0"/>
    <x v="1"/>
    <x v="1"/>
    <x v="2"/>
    <s v="فرن كهربائي"/>
    <n v="1"/>
    <n v="1850"/>
    <n v="1200"/>
    <n v="1850"/>
    <s v="مكتمل"/>
    <n v="650"/>
    <n v="0.35135135135135137"/>
    <x v="1"/>
    <s v="الربع 1"/>
  </r>
  <r>
    <s v="ORD-025"/>
    <d v="2025-02-09T00:00:00"/>
    <s v="خالد سالم"/>
    <x v="3"/>
    <x v="0"/>
    <x v="0"/>
    <x v="1"/>
    <s v="ثوب رجالي"/>
    <n v="1"/>
    <n v="450"/>
    <n v="250"/>
    <n v="450"/>
    <s v="مكتمل"/>
    <n v="200"/>
    <n v="0.44444444444444442"/>
    <x v="1"/>
    <s v="الربع 1"/>
  </r>
  <r>
    <s v="ORD-026"/>
    <d v="2025-10-02T00:00:00"/>
    <s v="منى حسن"/>
    <x v="0"/>
    <x v="0"/>
    <x v="1"/>
    <x v="3"/>
    <s v="خزانة ملابس"/>
    <n v="1"/>
    <n v="2200"/>
    <n v="1450"/>
    <n v="2200"/>
    <s v="مكتمل"/>
    <n v="750"/>
    <n v="0.34090909090909088"/>
    <x v="3"/>
    <s v="الربع 4"/>
  </r>
  <r>
    <s v="ORD-027"/>
    <d v="2025-02-11T00:00:00"/>
    <s v="بدر فهد"/>
    <x v="1"/>
    <x v="1"/>
    <x v="0"/>
    <x v="0"/>
    <s v="كمبيوتر لوحي"/>
    <n v="1"/>
    <n v="1800"/>
    <n v="1350"/>
    <n v="1800"/>
    <s v="مكتمل"/>
    <n v="450"/>
    <n v="0.25"/>
    <x v="1"/>
    <s v="الربع 1"/>
  </r>
  <r>
    <s v="ORD-028"/>
    <d v="2025-02-12T00:00:00"/>
    <s v="شهد علي"/>
    <x v="2"/>
    <x v="1"/>
    <x v="1"/>
    <x v="2"/>
    <s v="مكيف صحراوي"/>
    <n v="1"/>
    <n v="2900"/>
    <n v="2100"/>
    <n v="2900"/>
    <s v="مكتمل"/>
    <n v="800"/>
    <n v="0.27586206896551724"/>
    <x v="1"/>
    <s v="الربع 1"/>
  </r>
  <r>
    <s v="ORD-029"/>
    <d v="2025-02-13T00:00:00"/>
    <s v="محمد علي"/>
    <x v="0"/>
    <x v="0"/>
    <x v="0"/>
    <x v="1"/>
    <s v="عباءة رجالية"/>
    <n v="2"/>
    <n v="310"/>
    <n v="160"/>
    <n v="620"/>
    <s v="مكتمل"/>
    <n v="300"/>
    <n v="0.4838709677419355"/>
    <x v="1"/>
    <s v="الربع 1"/>
  </r>
  <r>
    <s v="ORD-030"/>
    <d v="2025-02-14T00:00:00"/>
    <s v="ديما سلمان"/>
    <x v="1"/>
    <x v="1"/>
    <x v="1"/>
    <x v="3"/>
    <s v="مرآة ديكور"/>
    <n v="1"/>
    <n v="550"/>
    <n v="320"/>
    <n v="550"/>
    <s v="مكتمل"/>
    <n v="230"/>
    <n v="0.41818181818181815"/>
    <x v="1"/>
    <s v="الربع 1"/>
  </r>
  <r>
    <s v="ORD-031"/>
    <d v="2025-02-15T00:00:00"/>
    <s v="أحمد محمد"/>
    <x v="0"/>
    <x v="0"/>
    <x v="0"/>
    <x v="0"/>
    <s v="راوتر إنترنت"/>
    <n v="1"/>
    <n v="420"/>
    <n v="260"/>
    <n v="420"/>
    <s v="مكتمل"/>
    <n v="160"/>
    <n v="0.38095238095238093"/>
    <x v="1"/>
    <s v="الربع 1"/>
  </r>
  <r>
    <s v="ORD-032"/>
    <d v="2025-02-16T00:00:00"/>
    <s v="سارة علي"/>
    <x v="1"/>
    <x v="1"/>
    <x v="1"/>
    <x v="2"/>
    <s v="خلاط كهربائي"/>
    <n v="3"/>
    <n v="195"/>
    <n v="110"/>
    <n v="585"/>
    <s v="مكتمل"/>
    <n v="255"/>
    <n v="0.4358974358974359"/>
    <x v="1"/>
    <s v="الربع 1"/>
  </r>
  <r>
    <s v="ORD-033"/>
    <d v="2025-02-17T00:00:00"/>
    <s v="فهد عبدالله"/>
    <x v="2"/>
    <x v="0"/>
    <x v="0"/>
    <x v="1"/>
    <s v="حقيبة يد"/>
    <n v="1"/>
    <n v="380"/>
    <n v="220"/>
    <n v="380"/>
    <s v="مكتمل"/>
    <n v="160"/>
    <n v="0.42105263157894735"/>
    <x v="1"/>
    <s v="الربع 1"/>
  </r>
  <r>
    <s v="ORD-034"/>
    <d v="2025-02-18T00:00:00"/>
    <s v="نورة أحمد"/>
    <x v="0"/>
    <x v="1"/>
    <x v="1"/>
    <x v="3"/>
    <s v="سجادة صغيرة"/>
    <n v="2"/>
    <n v="290"/>
    <n v="160"/>
    <n v="580"/>
    <s v="مكتمل"/>
    <n v="260"/>
    <n v="0.44827586206896552"/>
    <x v="1"/>
    <s v="الربع 1"/>
  </r>
  <r>
    <s v="ORD-035"/>
    <d v="2025-02-19T00:00:00"/>
    <s v="خالد سالم"/>
    <x v="3"/>
    <x v="0"/>
    <x v="0"/>
    <x v="0"/>
    <s v="طابعة ليزر"/>
    <n v="1"/>
    <n v="1100"/>
    <n v="780"/>
    <n v="1100"/>
    <s v="مكتمل"/>
    <n v="320"/>
    <n v="0.29090909090909089"/>
    <x v="1"/>
    <s v="الربع 1"/>
  </r>
  <r>
    <s v="ORD-036"/>
    <d v="2025-02-02T00:00:00"/>
    <s v="منى حسن"/>
    <x v="0"/>
    <x v="0"/>
    <x v="1"/>
    <x v="2"/>
    <s v="مبرد مياه"/>
    <n v="1"/>
    <n v="950"/>
    <n v="620"/>
    <n v="950"/>
    <s v="مكتمل"/>
    <n v="330"/>
    <n v="0.3473684210526316"/>
    <x v="1"/>
    <s v="الربع 1"/>
  </r>
  <r>
    <s v="ORD-037"/>
    <d v="2025-02-21T00:00:00"/>
    <s v="بدر فهد"/>
    <x v="1"/>
    <x v="1"/>
    <x v="0"/>
    <x v="1"/>
    <s v="بنطلون جينز"/>
    <n v="4"/>
    <n v="190"/>
    <n v="95"/>
    <n v="760"/>
    <s v="مكتمل"/>
    <n v="380"/>
    <n v="0.5"/>
    <x v="1"/>
    <s v="الربع 1"/>
  </r>
  <r>
    <s v="ORD-038"/>
    <d v="2025-02-22T00:00:00"/>
    <s v="شهد علي"/>
    <x v="2"/>
    <x v="1"/>
    <x v="1"/>
    <x v="3"/>
    <s v="مفرش طاولة"/>
    <n v="3"/>
    <n v="145"/>
    <n v="75"/>
    <n v="435"/>
    <s v="مكتمل"/>
    <n v="210"/>
    <n v="0.48275862068965519"/>
    <x v="1"/>
    <s v="الربع 1"/>
  </r>
  <r>
    <s v="ORD-039"/>
    <d v="2025-02-23T00:00:00"/>
    <s v="محمد علي"/>
    <x v="0"/>
    <x v="0"/>
    <x v="0"/>
    <x v="0"/>
    <s v="فلاش ميموري"/>
    <n v="5"/>
    <n v="85"/>
    <n v="45"/>
    <n v="425"/>
    <s v="مكتمل"/>
    <n v="200"/>
    <n v="0.47058823529411764"/>
    <x v="1"/>
    <s v="الربع 1"/>
  </r>
  <r>
    <s v="ORD-040"/>
    <d v="2025-02-24T00:00:00"/>
    <s v="ديما سلمان"/>
    <x v="1"/>
    <x v="1"/>
    <x v="1"/>
    <x v="2"/>
    <s v="ميكروويف"/>
    <n v="1"/>
    <n v="1350"/>
    <n v="920"/>
    <n v="1350"/>
    <s v="مكتمل"/>
    <n v="430"/>
    <n v="0.31851851851851853"/>
    <x v="1"/>
    <s v="الربع 1"/>
  </r>
  <r>
    <s v="ORD-041"/>
    <d v="2025-02-25T00:00:00"/>
    <s v="أحمد محمد"/>
    <x v="0"/>
    <x v="0"/>
    <x v="0"/>
    <x v="1"/>
    <s v="قميص نوم"/>
    <n v="3"/>
    <n v="120"/>
    <n v="60"/>
    <n v="360"/>
    <s v="مكتمل"/>
    <n v="180"/>
    <n v="0.5"/>
    <x v="1"/>
    <s v="الربع 1"/>
  </r>
  <r>
    <s v="ORD-042"/>
    <d v="2025-02-26T00:00:00"/>
    <s v="سارة علي"/>
    <x v="1"/>
    <x v="2"/>
    <x v="1"/>
    <x v="3"/>
    <s v="وسادة طبية"/>
    <n v="4"/>
    <n v="180"/>
    <n v="95"/>
    <n v="720"/>
    <s v="مكتمل"/>
    <n v="340"/>
    <n v="0.47222222222222221"/>
    <x v="1"/>
    <s v="الربع 1"/>
  </r>
  <r>
    <s v="ORD-043"/>
    <d v="2025-02-27T00:00:00"/>
    <s v="فهد عبدالله"/>
    <x v="2"/>
    <x v="0"/>
    <x v="0"/>
    <x v="0"/>
    <s v="كابل شحن"/>
    <n v="10"/>
    <n v="45"/>
    <n v="20"/>
    <n v="450"/>
    <s v="مكتمل"/>
    <n v="250"/>
    <n v="0.55555555555555558"/>
    <x v="1"/>
    <s v="الربع 1"/>
  </r>
  <r>
    <s v="ORD-044"/>
    <d v="2025-02-28T00:00:00"/>
    <s v="نورة أحمد"/>
    <x v="0"/>
    <x v="1"/>
    <x v="1"/>
    <x v="2"/>
    <s v="مكواة ملابس"/>
    <n v="1"/>
    <n v="380"/>
    <n v="220"/>
    <n v="380"/>
    <s v="مكتمل"/>
    <n v="160"/>
    <n v="0.42105263157894735"/>
    <x v="1"/>
    <s v="الربع 1"/>
  </r>
  <r>
    <s v="ORD-045"/>
    <d v="2025-03-01T00:00:00"/>
    <s v="خالد سالم"/>
    <x v="3"/>
    <x v="0"/>
    <x v="0"/>
    <x v="1"/>
    <s v="حذاء رسمي"/>
    <n v="1"/>
    <n v="420"/>
    <n v="240"/>
    <n v="420"/>
    <s v="مكتمل"/>
    <n v="180"/>
    <n v="0.42857142857142855"/>
    <x v="4"/>
    <s v="الربع 1"/>
  </r>
  <r>
    <s v="ORD-046"/>
    <d v="2025-03-02T00:00:00"/>
    <s v="منى حسن"/>
    <x v="0"/>
    <x v="0"/>
    <x v="1"/>
    <x v="3"/>
    <s v="رف جداري"/>
    <n v="2"/>
    <n v="260"/>
    <n v="150"/>
    <n v="520"/>
    <s v="مكتمل"/>
    <n v="220"/>
    <n v="0.42307692307692307"/>
    <x v="4"/>
    <s v="الربع 1"/>
  </r>
  <r>
    <s v="ORD-047"/>
    <d v="2025-03-03T00:00:00"/>
    <s v="بدر فهد"/>
    <x v="1"/>
    <x v="1"/>
    <x v="0"/>
    <x v="0"/>
    <s v="شاشة حاسوب"/>
    <n v="1"/>
    <n v="1450"/>
    <n v="980"/>
    <n v="1450"/>
    <s v="مكتمل"/>
    <n v="470"/>
    <n v="0.32413793103448274"/>
    <x v="4"/>
    <s v="الربع 1"/>
  </r>
  <r>
    <s v="ORD-048"/>
    <d v="2025-03-04T00:00:00"/>
    <s v="شهد علي"/>
    <x v="2"/>
    <x v="1"/>
    <x v="1"/>
    <x v="2"/>
    <s v="مروحة يدوية"/>
    <n v="5"/>
    <n v="85"/>
    <n v="45"/>
    <n v="425"/>
    <s v="مكتمل"/>
    <n v="200"/>
    <n v="0.47058823529411764"/>
    <x v="4"/>
    <s v="الربع 1"/>
  </r>
  <r>
    <s v="ORD-049"/>
    <d v="2025-05-03T00:00:00"/>
    <s v="محمد علي"/>
    <x v="0"/>
    <x v="0"/>
    <x v="0"/>
    <x v="1"/>
    <s v="وشاح قطني"/>
    <n v="6"/>
    <n v="95"/>
    <n v="45"/>
    <n v="570"/>
    <s v="مكتمل"/>
    <n v="300"/>
    <n v="0.52631578947368418"/>
    <x v="5"/>
    <s v="الربع 2"/>
  </r>
  <r>
    <s v="ORD-050"/>
    <d v="2025-03-06T00:00:00"/>
    <s v="ديما سلمان"/>
    <x v="1"/>
    <x v="1"/>
    <x v="1"/>
    <x v="3"/>
    <s v="سلة ملابس"/>
    <n v="3"/>
    <n v="120"/>
    <n v="65"/>
    <n v="360"/>
    <s v="مكتمل"/>
    <n v="165"/>
    <n v="0.45833333333333331"/>
    <x v="4"/>
    <s v="الربع 1"/>
  </r>
  <r>
    <s v="ORD-051"/>
    <d v="2025-03-07T00:00:00"/>
    <s v="أحمد محمد"/>
    <x v="0"/>
    <x v="0"/>
    <x v="0"/>
    <x v="0"/>
    <s v="سماعة رأس"/>
    <n v="2"/>
    <n v="299"/>
    <n v="150"/>
    <n v="598"/>
    <s v="مكتمل"/>
    <n v="298"/>
    <n v="0.49832775919732442"/>
    <x v="4"/>
    <s v="الربع 1"/>
  </r>
  <r>
    <s v="ORD-052"/>
    <d v="2025-08-03T00:00:00"/>
    <s v="سارة علي"/>
    <x v="1"/>
    <x v="1"/>
    <x v="1"/>
    <x v="2"/>
    <s v="محمصة خبز"/>
    <n v="1"/>
    <n v="320"/>
    <n v="180"/>
    <n v="320"/>
    <s v="مكتمل"/>
    <n v="140"/>
    <n v="0.4375"/>
    <x v="6"/>
    <s v="الربع 3"/>
  </r>
  <r>
    <s v="ORD-053"/>
    <d v="2025-03-09T00:00:00"/>
    <s v="فهد عبدالله"/>
    <x v="2"/>
    <x v="0"/>
    <x v="0"/>
    <x v="1"/>
    <s v="جاكيت جلدي"/>
    <n v="1"/>
    <n v="1200"/>
    <n v="750"/>
    <n v="1200"/>
    <s v="مكتمل"/>
    <n v="450"/>
    <n v="0.375"/>
    <x v="4"/>
    <s v="الربع 1"/>
  </r>
  <r>
    <s v="ORD-054"/>
    <d v="2025-10-03T00:00:00"/>
    <s v="نورة أحمد"/>
    <x v="0"/>
    <x v="1"/>
    <x v="1"/>
    <x v="3"/>
    <s v="شموع ديكور"/>
    <n v="10"/>
    <n v="45"/>
    <n v="20"/>
    <n v="450"/>
    <s v="مكتمل"/>
    <n v="250"/>
    <n v="0.55555555555555558"/>
    <x v="3"/>
    <s v="الربع 4"/>
  </r>
  <r>
    <s v="ORD-055"/>
    <d v="2025-03-11T00:00:00"/>
    <s v="خالد سالم"/>
    <x v="3"/>
    <x v="0"/>
    <x v="0"/>
    <x v="0"/>
    <s v="لوحة مفاتيح"/>
    <n v="2"/>
    <n v="250"/>
    <n v="140"/>
    <n v="500"/>
    <s v="مكتمل"/>
    <n v="220"/>
    <n v="0.44"/>
    <x v="4"/>
    <s v="الربع 1"/>
  </r>
  <r>
    <s v="ORD-056"/>
    <d v="2025-12-03T00:00:00"/>
    <s v="منى حسن"/>
    <x v="0"/>
    <x v="0"/>
    <x v="1"/>
    <x v="2"/>
    <s v="غلاية ماء"/>
    <n v="2"/>
    <n v="185"/>
    <n v="100"/>
    <n v="370"/>
    <s v="مكتمل"/>
    <n v="170"/>
    <n v="0.45945945945945948"/>
    <x v="7"/>
    <s v="الربع 4"/>
  </r>
  <r>
    <s v="ORD-057"/>
    <d v="2025-03-13T00:00:00"/>
    <s v="بدر فهد"/>
    <x v="1"/>
    <x v="1"/>
    <x v="0"/>
    <x v="1"/>
    <s v="فستان سهرة"/>
    <n v="1"/>
    <n v="850"/>
    <n v="480"/>
    <n v="850"/>
    <s v="مكتمل"/>
    <n v="370"/>
    <n v="0.43529411764705883"/>
    <x v="4"/>
    <s v="الربع 1"/>
  </r>
  <r>
    <s v="ORD-058"/>
    <d v="2025-03-14T00:00:00"/>
    <s v="شهد علي"/>
    <x v="2"/>
    <x v="1"/>
    <x v="1"/>
    <x v="3"/>
    <s v="طاولة قهوة"/>
    <n v="1"/>
    <n v="1100"/>
    <n v="720"/>
    <n v="1100"/>
    <s v="مكتمل"/>
    <n v="380"/>
    <n v="0.34545454545454546"/>
    <x v="4"/>
    <s v="الربع 1"/>
  </r>
  <r>
    <s v="ORD-059"/>
    <d v="2025-03-15T00:00:00"/>
    <s v="محمد علي"/>
    <x v="0"/>
    <x v="0"/>
    <x v="0"/>
    <x v="0"/>
    <s v="فأرة حاسوب"/>
    <n v="3"/>
    <n v="150"/>
    <n v="80"/>
    <n v="450"/>
    <s v="مكتمل"/>
    <n v="210"/>
    <n v="0.46666666666666667"/>
    <x v="4"/>
    <s v="الربع 1"/>
  </r>
  <r>
    <s v="ORD-060"/>
    <d v="2025-03-16T00:00:00"/>
    <s v="ديما سلمان"/>
    <x v="1"/>
    <x v="1"/>
    <x v="1"/>
    <x v="2"/>
    <s v="مكيف جداري"/>
    <n v="1"/>
    <n v="3500"/>
    <n v="2600"/>
    <n v="3500"/>
    <s v="مكتمل"/>
    <n v="900"/>
    <n v="0.25714285714285712"/>
    <x v="4"/>
    <s v="الربع 1"/>
  </r>
  <r>
    <s v="ORD-061"/>
    <d v="2025-03-17T00:00:00"/>
    <s v="أحمد محمد"/>
    <x v="0"/>
    <x v="0"/>
    <x v="0"/>
    <x v="1"/>
    <s v="عباءة نسائية"/>
    <n v="1"/>
    <n v="550"/>
    <n v="320"/>
    <n v="550"/>
    <s v="مكتمل"/>
    <n v="230"/>
    <n v="0.41818181818181815"/>
    <x v="4"/>
    <s v="الربع 1"/>
  </r>
  <r>
    <s v="ORD-062"/>
    <d v="2025-03-18T00:00:00"/>
    <s v="سارة علي"/>
    <x v="1"/>
    <x v="2"/>
    <x v="1"/>
    <x v="3"/>
    <s v="سجادة صالة"/>
    <n v="1"/>
    <n v="1900"/>
    <n v="1250"/>
    <n v="1900"/>
    <s v="مكتمل"/>
    <n v="650"/>
    <n v="0.34210526315789475"/>
    <x v="4"/>
    <s v="الربع 1"/>
  </r>
  <r>
    <s v="ORD-063"/>
    <d v="2025-03-19T00:00:00"/>
    <s v="فهد عبدالله"/>
    <x v="2"/>
    <x v="0"/>
    <x v="0"/>
    <x v="0"/>
    <s v="كاميرا مراقبة"/>
    <n v="2"/>
    <n v="850"/>
    <n v="520"/>
    <n v="1700"/>
    <s v="مكتمل"/>
    <n v="660"/>
    <n v="0.38823529411764707"/>
    <x v="4"/>
    <s v="الربع 1"/>
  </r>
  <r>
    <s v="ORD-064"/>
    <d v="2025-03-20T00:00:00"/>
    <s v="نورة أحمد"/>
    <x v="0"/>
    <x v="1"/>
    <x v="1"/>
    <x v="2"/>
    <s v="ثلاجة كبيرة"/>
    <n v="1"/>
    <n v="4200"/>
    <n v="3100"/>
    <n v="4200"/>
    <s v="مكتمل"/>
    <n v="1100"/>
    <n v="0.26190476190476192"/>
    <x v="4"/>
    <s v="الربع 1"/>
  </r>
  <r>
    <s v="ORD-065"/>
    <d v="2025-03-21T00:00:00"/>
    <s v="خالد سالم"/>
    <x v="3"/>
    <x v="0"/>
    <x v="0"/>
    <x v="1"/>
    <s v="بدلة عمل"/>
    <n v="1"/>
    <n v="980"/>
    <n v="580"/>
    <n v="980"/>
    <s v="مكتمل"/>
    <n v="400"/>
    <n v="0.40816326530612246"/>
    <x v="4"/>
    <s v="الربع 1"/>
  </r>
  <r>
    <s v="ORD-066"/>
    <d v="2025-03-22T00:00:00"/>
    <s v="منى حسن"/>
    <x v="0"/>
    <x v="0"/>
    <x v="1"/>
    <x v="3"/>
    <s v="أرفف مطبخ"/>
    <n v="2"/>
    <n v="340"/>
    <n v="190"/>
    <n v="680"/>
    <s v="مكتمل"/>
    <n v="300"/>
    <n v="0.44117647058823528"/>
    <x v="4"/>
    <s v="الربع 1"/>
  </r>
  <r>
    <s v="ORD-067"/>
    <d v="2025-03-23T00:00:00"/>
    <s v="بدر فهد"/>
    <x v="1"/>
    <x v="1"/>
    <x v="0"/>
    <x v="0"/>
    <s v="جهاز عرض"/>
    <n v="1"/>
    <n v="2800"/>
    <n v="2000"/>
    <n v="2800"/>
    <s v="مكتمل"/>
    <n v="800"/>
    <n v="0.2857142857142857"/>
    <x v="4"/>
    <s v="الربع 1"/>
  </r>
  <r>
    <s v="ORD-068"/>
    <d v="2025-03-24T00:00:00"/>
    <s v="شهد علي"/>
    <x v="2"/>
    <x v="1"/>
    <x v="1"/>
    <x v="2"/>
    <s v="غسالة أطباق"/>
    <n v="1"/>
    <n v="3200"/>
    <n v="2450"/>
    <n v="3200"/>
    <s v="مكتمل"/>
    <n v="750"/>
    <n v="0.234375"/>
    <x v="4"/>
    <s v="الربع 1"/>
  </r>
  <r>
    <s v="ORD-069"/>
    <d v="2025-03-25T00:00:00"/>
    <s v="محمد علي"/>
    <x v="0"/>
    <x v="0"/>
    <x v="0"/>
    <x v="1"/>
    <s v="قميص قطني"/>
    <n v="5"/>
    <n v="90"/>
    <n v="45"/>
    <n v="450"/>
    <s v="مكتمل"/>
    <n v="225"/>
    <n v="0.5"/>
    <x v="4"/>
    <s v="الربع 1"/>
  </r>
  <r>
    <s v="ORD-070"/>
    <d v="2025-03-26T00:00:00"/>
    <s v="ديما سلمان"/>
    <x v="1"/>
    <x v="1"/>
    <x v="1"/>
    <x v="3"/>
    <s v="خزانة أحذية"/>
    <n v="1"/>
    <n v="780"/>
    <n v="480"/>
    <n v="780"/>
    <s v="مكتمل"/>
    <n v="300"/>
    <n v="0.38461538461538464"/>
    <x v="4"/>
    <s v="الربع 1"/>
  </r>
  <r>
    <s v="ORD-071"/>
    <d v="2025-03-27T00:00:00"/>
    <s v="أحمد محمد"/>
    <x v="0"/>
    <x v="0"/>
    <x v="0"/>
    <x v="0"/>
    <s v="هاتف ذكي"/>
    <n v="1"/>
    <n v="3800"/>
    <n v="2900"/>
    <n v="3800"/>
    <s v="مكتمل"/>
    <n v="900"/>
    <n v="0.23684210526315788"/>
    <x v="4"/>
    <s v="الربع 1"/>
  </r>
  <r>
    <s v="ORD-072"/>
    <d v="2025-03-28T00:00:00"/>
    <s v="سارة علي"/>
    <x v="1"/>
    <x v="1"/>
    <x v="1"/>
    <x v="2"/>
    <s v="مكواة بخار"/>
    <n v="1"/>
    <n v="420"/>
    <n v="250"/>
    <n v="420"/>
    <s v="مكتمل"/>
    <n v="170"/>
    <n v="0.40476190476190477"/>
    <x v="4"/>
    <s v="الربع 1"/>
  </r>
  <r>
    <s v="ORD-073"/>
    <d v="2025-03-29T00:00:00"/>
    <s v="فهد عبدالله"/>
    <x v="2"/>
    <x v="0"/>
    <x v="0"/>
    <x v="1"/>
    <s v="حقيبة سفر"/>
    <n v="1"/>
    <n v="650"/>
    <n v="380"/>
    <n v="650"/>
    <s v="مكتمل"/>
    <n v="270"/>
    <n v="0.41538461538461541"/>
    <x v="4"/>
    <s v="الربع 1"/>
  </r>
  <r>
    <s v="ORD-074"/>
    <d v="2025-03-30T00:00:00"/>
    <s v="نورة أحمد"/>
    <x v="0"/>
    <x v="1"/>
    <x v="1"/>
    <x v="3"/>
    <s v="ستائر باب"/>
    <n v="2"/>
    <n v="320"/>
    <n v="180"/>
    <n v="640"/>
    <s v="مكتمل"/>
    <n v="280"/>
    <n v="0.4375"/>
    <x v="4"/>
    <s v="الربع 1"/>
  </r>
  <r>
    <s v="ORD-075"/>
    <d v="2025-03-31T00:00:00"/>
    <s v="خالد سالم"/>
    <x v="3"/>
    <x v="0"/>
    <x v="0"/>
    <x v="0"/>
    <s v="ساعة ذكية"/>
    <n v="1"/>
    <n v="1350"/>
    <n v="950"/>
    <n v="1350"/>
    <s v="مكتمل"/>
    <n v="400"/>
    <n v="0.29629629629629628"/>
    <x v="4"/>
    <s v="الربع 1"/>
  </r>
  <r>
    <s v="ORD-076"/>
    <d v="2025-04-01T00:00:00"/>
    <s v="منى حسن"/>
    <x v="0"/>
    <x v="0"/>
    <x v="1"/>
    <x v="2"/>
    <s v="مروحة سقف"/>
    <n v="3"/>
    <n v="290"/>
    <n v="170"/>
    <n v="870"/>
    <s v="مكتمل"/>
    <n v="360"/>
    <n v="0.41379310344827586"/>
    <x v="8"/>
    <s v="الربع 2"/>
  </r>
  <r>
    <s v="ORD-077"/>
    <d v="2025-04-02T00:00:00"/>
    <s v="بدر فهد"/>
    <x v="1"/>
    <x v="1"/>
    <x v="0"/>
    <x v="1"/>
    <s v="ثوب رجالي"/>
    <n v="2"/>
    <n v="380"/>
    <n v="210"/>
    <n v="760"/>
    <s v="مكتمل"/>
    <n v="340"/>
    <n v="0.44736842105263158"/>
    <x v="8"/>
    <s v="الربع 2"/>
  </r>
  <r>
    <s v="ORD-078"/>
    <d v="2025-04-03T00:00:00"/>
    <s v="شهد علي"/>
    <x v="2"/>
    <x v="1"/>
    <x v="1"/>
    <x v="3"/>
    <s v="مفرش سرير"/>
    <n v="1"/>
    <n v="520"/>
    <n v="290"/>
    <n v="520"/>
    <s v="مكتمل"/>
    <n v="230"/>
    <n v="0.44230769230769229"/>
    <x v="8"/>
    <s v="الربع 2"/>
  </r>
  <r>
    <s v="ORD-079"/>
    <d v="2025-04-04T00:00:00"/>
    <s v="محمد علي"/>
    <x v="0"/>
    <x v="0"/>
    <x v="0"/>
    <x v="0"/>
    <s v="كمبيوتر محمول"/>
    <n v="1"/>
    <n v="4500"/>
    <n v="3300"/>
    <n v="4500"/>
    <s v="مكتمل"/>
    <n v="1200"/>
    <n v="0.26666666666666666"/>
    <x v="8"/>
    <s v="الربع 2"/>
  </r>
  <r>
    <s v="ORD-080"/>
    <d v="2025-05-04T00:00:00"/>
    <s v="ديما سلمان"/>
    <x v="1"/>
    <x v="1"/>
    <x v="1"/>
    <x v="2"/>
    <s v="فرن كهربائي"/>
    <n v="1"/>
    <n v="2100"/>
    <n v="1450"/>
    <n v="2100"/>
    <s v="مكتمل"/>
    <n v="650"/>
    <n v="0.30952380952380953"/>
    <x v="5"/>
    <s v="الربع 2"/>
  </r>
  <r>
    <s v="ORD-081"/>
    <d v="2025-04-06T00:00:00"/>
    <s v="أحمد محمد"/>
    <x v="0"/>
    <x v="0"/>
    <x v="0"/>
    <x v="1"/>
    <s v="معطف شتوي"/>
    <n v="1"/>
    <n v="720"/>
    <n v="420"/>
    <n v="720"/>
    <s v="مكتمل"/>
    <n v="300"/>
    <n v="0.41666666666666669"/>
    <x v="8"/>
    <s v="الربع 2"/>
  </r>
  <r>
    <s v="ORD-082"/>
    <d v="2025-04-07T00:00:00"/>
    <s v="سارة علي"/>
    <x v="1"/>
    <x v="2"/>
    <x v="1"/>
    <x v="3"/>
    <s v="أواني طعام"/>
    <n v="4"/>
    <n v="210"/>
    <n v="110"/>
    <n v="840"/>
    <s v="مكتمل"/>
    <n v="400"/>
    <n v="0.47619047619047616"/>
    <x v="8"/>
    <s v="الربع 2"/>
  </r>
  <r>
    <s v="ORD-083"/>
    <d v="2025-04-08T00:00:00"/>
    <s v="فهد عبدالله"/>
    <x v="2"/>
    <x v="0"/>
    <x v="0"/>
    <x v="0"/>
    <s v="سماعة لاسلكية"/>
    <n v="2"/>
    <n v="340"/>
    <n v="180"/>
    <n v="680"/>
    <s v="مكتمل"/>
    <n v="320"/>
    <n v="0.47058823529411764"/>
    <x v="8"/>
    <s v="الربع 2"/>
  </r>
  <r>
    <s v="ORD-084"/>
    <d v="2025-04-09T00:00:00"/>
    <s v="نورة أحمد"/>
    <x v="0"/>
    <x v="1"/>
    <x v="1"/>
    <x v="2"/>
    <s v="مكنسة كهربائية"/>
    <n v="1"/>
    <n v="1450"/>
    <n v="890"/>
    <n v="1450"/>
    <s v="مكتمل"/>
    <n v="560"/>
    <n v="0.38620689655172413"/>
    <x v="8"/>
    <s v="الربع 2"/>
  </r>
  <r>
    <s v="ORD-085"/>
    <d v="2025-04-10T00:00:00"/>
    <s v="خالد سالم"/>
    <x v="3"/>
    <x v="0"/>
    <x v="0"/>
    <x v="1"/>
    <s v="حذاء رياضي"/>
    <n v="2"/>
    <n v="310"/>
    <n v="170"/>
    <n v="620"/>
    <s v="مكتمل"/>
    <n v="280"/>
    <n v="0.45161290322580644"/>
    <x v="8"/>
    <s v="الربع 2"/>
  </r>
  <r>
    <s v="ORD-086"/>
    <d v="2025-11-04T00:00:00"/>
    <s v="منى حسن"/>
    <x v="0"/>
    <x v="0"/>
    <x v="1"/>
    <x v="3"/>
    <s v="طاولة جانبية"/>
    <n v="1"/>
    <n v="680"/>
    <n v="420"/>
    <n v="680"/>
    <s v="مكتمل"/>
    <n v="260"/>
    <n v="0.38235294117647056"/>
    <x v="9"/>
    <s v="الربع 4"/>
  </r>
  <r>
    <s v="ORD-087"/>
    <d v="2025-04-12T00:00:00"/>
    <s v="بدر فهد"/>
    <x v="1"/>
    <x v="1"/>
    <x v="0"/>
    <x v="0"/>
    <s v="كمبيوتر لوحي"/>
    <n v="1"/>
    <n v="1950"/>
    <n v="1400"/>
    <n v="1950"/>
    <s v="مكتمل"/>
    <n v="550"/>
    <n v="0.28205128205128205"/>
    <x v="8"/>
    <s v="الربع 2"/>
  </r>
  <r>
    <s v="ORD-088"/>
    <d v="2025-04-13T00:00:00"/>
    <s v="شهد علي"/>
    <x v="2"/>
    <x v="1"/>
    <x v="1"/>
    <x v="2"/>
    <s v="مكيف صحراوي"/>
    <n v="1"/>
    <n v="3100"/>
    <n v="2250"/>
    <n v="3100"/>
    <s v="مكتمل"/>
    <n v="850"/>
    <n v="0.27419354838709675"/>
    <x v="8"/>
    <s v="الربع 2"/>
  </r>
  <r>
    <s v="ORD-089"/>
    <d v="2025-04-14T00:00:00"/>
    <s v="محمد علي"/>
    <x v="0"/>
    <x v="0"/>
    <x v="0"/>
    <x v="1"/>
    <s v="قميص رسمي"/>
    <n v="3"/>
    <n v="250"/>
    <n v="140"/>
    <n v="750"/>
    <s v="مكتمل"/>
    <n v="330"/>
    <n v="0.44"/>
    <x v="8"/>
    <s v="الربع 2"/>
  </r>
  <r>
    <s v="ORD-090"/>
    <d v="2025-04-15T00:00:00"/>
    <s v="ديما سلمان"/>
    <x v="1"/>
    <x v="1"/>
    <x v="1"/>
    <x v="3"/>
    <s v="مرآة حائط"/>
    <n v="1"/>
    <n v="480"/>
    <n v="280"/>
    <n v="480"/>
    <s v="مكتمل"/>
    <n v="200"/>
    <n v="0.41666666666666669"/>
    <x v="8"/>
    <s v="الربع 2"/>
  </r>
  <r>
    <s v="ORD-091"/>
    <d v="2025-04-16T00:00:00"/>
    <s v="أحمد محمد"/>
    <x v="0"/>
    <x v="0"/>
    <x v="0"/>
    <x v="0"/>
    <s v="راوتر سريع"/>
    <n v="1"/>
    <n v="520"/>
    <n v="310"/>
    <n v="520"/>
    <s v="مكتمل"/>
    <n v="210"/>
    <n v="0.40384615384615385"/>
    <x v="8"/>
    <s v="الربع 2"/>
  </r>
  <r>
    <s v="ORD-092"/>
    <d v="2025-04-17T00:00:00"/>
    <s v="سارة علي"/>
    <x v="1"/>
    <x v="1"/>
    <x v="1"/>
    <x v="2"/>
    <s v="خلاط متعدد الوظائف"/>
    <n v="1"/>
    <n v="650"/>
    <n v="390"/>
    <n v="650"/>
    <s v="مكتمل"/>
    <n v="260"/>
    <n v="0.4"/>
    <x v="8"/>
    <s v="الربع 2"/>
  </r>
  <r>
    <s v="ORD-093"/>
    <d v="2025-04-18T00:00:00"/>
    <s v="فهد عبدالله"/>
    <x v="2"/>
    <x v="0"/>
    <x v="0"/>
    <x v="1"/>
    <s v="بنطلون رسمي"/>
    <n v="2"/>
    <n v="280"/>
    <n v="150"/>
    <n v="560"/>
    <s v="مكتمل"/>
    <n v="260"/>
    <n v="0.4642857142857143"/>
    <x v="8"/>
    <s v="الربع 2"/>
  </r>
  <r>
    <s v="ORD-094"/>
    <d v="2025-04-19T00:00:00"/>
    <s v="نورة أحمد"/>
    <x v="0"/>
    <x v="1"/>
    <x v="1"/>
    <x v="3"/>
    <s v="سجادة كبيرة"/>
    <n v="1"/>
    <n v="2400"/>
    <n v="1550"/>
    <n v="2400"/>
    <s v="مكتمل"/>
    <n v="850"/>
    <n v="0.35416666666666669"/>
    <x v="8"/>
    <s v="الربع 2"/>
  </r>
  <r>
    <s v="ORD-095"/>
    <d v="2025-04-20T00:00:00"/>
    <s v="خالد سالم"/>
    <x v="3"/>
    <x v="0"/>
    <x v="0"/>
    <x v="0"/>
    <s v="طابعة ذكية"/>
    <n v="1"/>
    <n v="1350"/>
    <n v="920"/>
    <n v="1350"/>
    <s v="مكتمل"/>
    <n v="430"/>
    <n v="0.31851851851851853"/>
    <x v="8"/>
    <s v="الربع 2"/>
  </r>
  <r>
    <s v="ORD-096"/>
    <d v="2025-04-21T00:00:00"/>
    <s v="منى حسن"/>
    <x v="0"/>
    <x v="0"/>
    <x v="1"/>
    <x v="2"/>
    <s v="مبرد ماء"/>
    <n v="1"/>
    <n v="1050"/>
    <n v="680"/>
    <n v="1050"/>
    <s v="مكتمل"/>
    <n v="370"/>
    <n v="0.35238095238095241"/>
    <x v="8"/>
    <s v="الربع 2"/>
  </r>
  <r>
    <s v="ORD-097"/>
    <d v="2025-04-22T00:00:00"/>
    <s v="بدر فهد"/>
    <x v="1"/>
    <x v="1"/>
    <x v="0"/>
    <x v="1"/>
    <s v="حقيبة يد"/>
    <n v="1"/>
    <n v="450"/>
    <n v="260"/>
    <n v="450"/>
    <s v="مكتمل"/>
    <n v="190"/>
    <n v="0.42222222222222222"/>
    <x v="8"/>
    <s v="الربع 2"/>
  </r>
  <r>
    <s v="ORD-098"/>
    <d v="2025-04-23T00:00:00"/>
    <s v="شهد علي"/>
    <x v="2"/>
    <x v="1"/>
    <x v="1"/>
    <x v="3"/>
    <s v="مفرش طاولة طعام"/>
    <n v="2"/>
    <n v="210"/>
    <n v="115"/>
    <n v="420"/>
    <s v="مكتمل"/>
    <n v="190"/>
    <n v="0.45238095238095238"/>
    <x v="8"/>
    <s v="الربع 2"/>
  </r>
  <r>
    <s v="ORD-099"/>
    <d v="2025-04-24T00:00:00"/>
    <s v="محمد علي"/>
    <x v="0"/>
    <x v="0"/>
    <x v="0"/>
    <x v="0"/>
    <s v="ذاكرة تخزين"/>
    <n v="4"/>
    <n v="190"/>
    <n v="100"/>
    <n v="760"/>
    <s v="مكتمل"/>
    <n v="360"/>
    <n v="0.47368421052631576"/>
    <x v="8"/>
    <s v="الربع 2"/>
  </r>
  <r>
    <s v="ORD-100"/>
    <d v="2025-04-25T00:00:00"/>
    <s v="ديما سلمان"/>
    <x v="1"/>
    <x v="1"/>
    <x v="1"/>
    <x v="2"/>
    <s v="ميكروويف رقمي"/>
    <n v="1"/>
    <n v="1450"/>
    <n v="980"/>
    <n v="1450"/>
    <s v="مكتمل"/>
    <n v="470"/>
    <n v="0.32413793103448274"/>
    <x v="8"/>
    <s v="الربع 2"/>
  </r>
  <r>
    <s v="ORD-101"/>
    <d v="2025-04-26T00:00:00"/>
    <s v="أحمد محمد"/>
    <x v="0"/>
    <x v="0"/>
    <x v="0"/>
    <x v="1"/>
    <s v="ثوب نوم"/>
    <n v="2"/>
    <n v="180"/>
    <n v="90"/>
    <n v="360"/>
    <s v="مكتمل"/>
    <n v="180"/>
    <n v="0.5"/>
    <x v="8"/>
    <s v="الربع 2"/>
  </r>
  <r>
    <s v="ORD-102"/>
    <d v="2025-04-27T00:00:00"/>
    <s v="سارة علي"/>
    <x v="1"/>
    <x v="2"/>
    <x v="1"/>
    <x v="3"/>
    <s v="وسادة نوم"/>
    <n v="3"/>
    <n v="210"/>
    <n v="110"/>
    <n v="630"/>
    <s v="مكتمل"/>
    <n v="300"/>
    <n v="0.47619047619047616"/>
    <x v="8"/>
    <s v="الربع 2"/>
  </r>
  <r>
    <s v="ORD-103"/>
    <d v="2025-04-28T00:00:00"/>
    <s v="فهد عبدالله"/>
    <x v="2"/>
    <x v="0"/>
    <x v="0"/>
    <x v="0"/>
    <s v="شاحن متنقل"/>
    <n v="3"/>
    <n v="199"/>
    <n v="105"/>
    <n v="597"/>
    <s v="مكتمل"/>
    <n v="282"/>
    <n v="0.47236180904522612"/>
    <x v="8"/>
    <s v="الربع 2"/>
  </r>
  <r>
    <s v="ORD-104"/>
    <d v="2025-04-29T00:00:00"/>
    <s v="نورة أحمد"/>
    <x v="0"/>
    <x v="1"/>
    <x v="1"/>
    <x v="2"/>
    <s v="مكواة بخار احترافية"/>
    <n v="1"/>
    <n v="550"/>
    <n v="320"/>
    <n v="550"/>
    <s v="مكتمل"/>
    <n v="230"/>
    <n v="0.41818181818181815"/>
    <x v="8"/>
    <s v="الربع 2"/>
  </r>
  <r>
    <s v="ORD-105"/>
    <d v="2025-04-30T00:00:00"/>
    <s v="خالد سالم"/>
    <x v="3"/>
    <x v="0"/>
    <x v="0"/>
    <x v="1"/>
    <s v="حذاء جلدي"/>
    <n v="1"/>
    <n v="520"/>
    <n v="300"/>
    <n v="520"/>
    <s v="مكتمل"/>
    <n v="220"/>
    <n v="0.42307692307692307"/>
    <x v="8"/>
    <s v="الربع 2"/>
  </r>
  <r>
    <s v="ORD-106"/>
    <d v="2025-05-01T00:00:00"/>
    <s v="منى حسن"/>
    <x v="0"/>
    <x v="0"/>
    <x v="1"/>
    <x v="3"/>
    <s v="رف تخزين"/>
    <n v="2"/>
    <n v="310"/>
    <n v="170"/>
    <n v="620"/>
    <s v="مكتمل"/>
    <n v="280"/>
    <n v="0.45161290322580644"/>
    <x v="5"/>
    <s v="الربع 2"/>
  </r>
  <r>
    <s v="ORD-107"/>
    <d v="2025-05-02T00:00:00"/>
    <s v="بدر فهد"/>
    <x v="1"/>
    <x v="1"/>
    <x v="0"/>
    <x v="0"/>
    <s v="شاشة عالية الدقة"/>
    <n v="1"/>
    <n v="2100"/>
    <n v="1450"/>
    <n v="2100"/>
    <s v="مكتمل"/>
    <n v="650"/>
    <n v="0.30952380952380953"/>
    <x v="5"/>
    <s v="الربع 2"/>
  </r>
  <r>
    <s v="ORD-108"/>
    <d v="2025-05-03T00:00:00"/>
    <s v="شهد علي"/>
    <x v="2"/>
    <x v="1"/>
    <x v="1"/>
    <x v="2"/>
    <s v="مروحة أرضية"/>
    <n v="2"/>
    <n v="260"/>
    <n v="150"/>
    <n v="520"/>
    <s v="مكتمل"/>
    <n v="220"/>
    <n v="0.42307692307692307"/>
    <x v="5"/>
    <s v="الربع 2"/>
  </r>
  <r>
    <s v="ORD-109"/>
    <d v="2025-05-04T00:00:00"/>
    <s v="محمد علي"/>
    <x v="0"/>
    <x v="0"/>
    <x v="0"/>
    <x v="1"/>
    <s v="وشاح صيفي"/>
    <n v="4"/>
    <n v="120"/>
    <n v="60"/>
    <n v="480"/>
    <s v="مكتمل"/>
    <n v="240"/>
    <n v="0.5"/>
    <x v="5"/>
    <s v="الربع 2"/>
  </r>
  <r>
    <s v="ORD-110"/>
    <d v="2025-05-05T00:00:00"/>
    <s v="ديما سلمان"/>
    <x v="1"/>
    <x v="1"/>
    <x v="1"/>
    <x v="3"/>
    <s v="سلة ديكور"/>
    <n v="5"/>
    <n v="95"/>
    <n v="50"/>
    <n v="475"/>
    <s v="مكتمل"/>
    <n v="225"/>
    <n v="0.47368421052631576"/>
    <x v="5"/>
    <s v="الربع 2"/>
  </r>
  <r>
    <s v="ORD-111"/>
    <d v="2025-05-06T00:00:00"/>
    <s v="أحمد محمد"/>
    <x v="0"/>
    <x v="0"/>
    <x v="0"/>
    <x v="0"/>
    <s v="سماعة رأس عازلة للضوضاء"/>
    <n v="1"/>
    <n v="799"/>
    <n v="480"/>
    <n v="799"/>
    <s v="مكتمل"/>
    <n v="319"/>
    <n v="0.39924906132665833"/>
    <x v="5"/>
    <s v="الربع 2"/>
  </r>
  <r>
    <s v="ORD-112"/>
    <d v="2025-05-07T00:00:00"/>
    <s v="سارة علي"/>
    <x v="1"/>
    <x v="1"/>
    <x v="1"/>
    <x v="2"/>
    <s v="محمصة متعددة الدرجات"/>
    <n v="1"/>
    <n v="420"/>
    <n v="240"/>
    <n v="420"/>
    <s v="مكتمل"/>
    <n v="180"/>
    <n v="0.42857142857142855"/>
    <x v="5"/>
    <s v="الربع 2"/>
  </r>
  <r>
    <s v="ORD-113"/>
    <d v="2025-05-08T00:00:00"/>
    <s v="فهد عبدالله"/>
    <x v="2"/>
    <x v="0"/>
    <x v="0"/>
    <x v="1"/>
    <s v="جاكيت شتوي"/>
    <n v="1"/>
    <n v="1450"/>
    <n v="850"/>
    <n v="1450"/>
    <s v="مكتمل"/>
    <n v="600"/>
    <n v="0.41379310344827586"/>
    <x v="5"/>
    <s v="الربع 2"/>
  </r>
  <r>
    <s v="ORD-114"/>
    <d v="2025-05-09T00:00:00"/>
    <s v="نورة أحمد"/>
    <x v="0"/>
    <x v="1"/>
    <x v="1"/>
    <x v="3"/>
    <s v="شموع معطرة"/>
    <n v="8"/>
    <n v="55"/>
    <n v="25"/>
    <n v="440"/>
    <s v="مكتمل"/>
    <n v="240"/>
    <n v="0.54545454545454541"/>
    <x v="5"/>
    <s v="الربع 2"/>
  </r>
  <r>
    <s v="ORD-115"/>
    <d v="2025-05-10T00:00:00"/>
    <s v="خالد سالم"/>
    <x v="3"/>
    <x v="0"/>
    <x v="0"/>
    <x v="0"/>
    <s v="لوحة مفاتيح ميكانيكية"/>
    <n v="2"/>
    <n v="350"/>
    <n v="190"/>
    <n v="700"/>
    <s v="مكتمل"/>
    <n v="320"/>
    <n v="0.45714285714285713"/>
    <x v="5"/>
    <s v="الربع 2"/>
  </r>
  <r>
    <s v="ORD-116"/>
    <d v="2025-11-05T00:00:00"/>
    <s v="منى حسن"/>
    <x v="0"/>
    <x v="0"/>
    <x v="1"/>
    <x v="2"/>
    <s v="غلاية سريعة الغلي"/>
    <n v="2"/>
    <n v="210"/>
    <n v="115"/>
    <n v="420"/>
    <s v="مكتمل"/>
    <n v="190"/>
    <n v="0.45238095238095238"/>
    <x v="9"/>
    <s v="الربع 4"/>
  </r>
  <r>
    <s v="ORD-117"/>
    <d v="2025-05-12T00:00:00"/>
    <s v="بدر فهد"/>
    <x v="1"/>
    <x v="1"/>
    <x v="0"/>
    <x v="1"/>
    <s v="فستان سهرة فاخر"/>
    <n v="1"/>
    <n v="1200"/>
    <n v="680"/>
    <n v="1200"/>
    <s v="مكتمل"/>
    <n v="520"/>
    <n v="0.43333333333333335"/>
    <x v="5"/>
    <s v="الربع 2"/>
  </r>
  <r>
    <s v="ORD-118"/>
    <d v="2025-05-13T00:00:00"/>
    <s v="شهد علي"/>
    <x v="2"/>
    <x v="1"/>
    <x v="1"/>
    <x v="3"/>
    <s v="طاولة قهوة عصرية"/>
    <n v="1"/>
    <n v="1450"/>
    <n v="920"/>
    <n v="1450"/>
    <s v="مكتمل"/>
    <n v="530"/>
    <n v="0.36551724137931035"/>
    <x v="5"/>
    <s v="الربع 2"/>
  </r>
  <r>
    <s v="ORD-119"/>
    <d v="2025-05-14T00:00:00"/>
    <s v="محمد علي"/>
    <x v="0"/>
    <x v="0"/>
    <x v="0"/>
    <x v="0"/>
    <s v="فأرة ألعاب"/>
    <n v="2"/>
    <n v="250"/>
    <n v="130"/>
    <n v="500"/>
    <s v="مكتمل"/>
    <n v="240"/>
    <n v="0.48"/>
    <x v="5"/>
    <s v="الربع 2"/>
  </r>
  <r>
    <s v="ORD-120"/>
    <d v="2025-05-15T00:00:00"/>
    <s v="ديما سلمان"/>
    <x v="1"/>
    <x v="1"/>
    <x v="1"/>
    <x v="2"/>
    <s v="مكيف جداري موفر للطاقة"/>
    <n v="1"/>
    <n v="4200"/>
    <n v="3100"/>
    <n v="4200"/>
    <s v="مكتمل"/>
    <n v="1100"/>
    <n v="0.26190476190476192"/>
    <x v="5"/>
    <s v="الربع 2"/>
  </r>
  <r>
    <s v="ORD-121"/>
    <d v="2025-05-16T00:00:00"/>
    <s v="أحمد محمد"/>
    <x v="0"/>
    <x v="0"/>
    <x v="0"/>
    <x v="1"/>
    <s v="عباءة بتصميم عصري"/>
    <n v="1"/>
    <n v="780"/>
    <n v="450"/>
    <n v="780"/>
    <s v="مكتمل"/>
    <n v="330"/>
    <n v="0.42307692307692307"/>
    <x v="5"/>
    <s v="الربع 2"/>
  </r>
  <r>
    <s v="ORD-122"/>
    <d v="2025-05-17T00:00:00"/>
    <s v="سارة علي"/>
    <x v="1"/>
    <x v="2"/>
    <x v="1"/>
    <x v="3"/>
    <s v="سجادة استقبال"/>
    <n v="1"/>
    <n v="2200"/>
    <n v="1400"/>
    <n v="2200"/>
    <s v="مكتمل"/>
    <n v="800"/>
    <n v="0.36363636363636365"/>
    <x v="5"/>
    <s v="الربع 2"/>
  </r>
  <r>
    <s v="ORD-123"/>
    <d v="2025-05-18T00:00:00"/>
    <s v="فهد عبدالله"/>
    <x v="2"/>
    <x v="0"/>
    <x v="0"/>
    <x v="0"/>
    <s v="كاميرا احترافية"/>
    <n v="1"/>
    <n v="4500"/>
    <n v="3200"/>
    <n v="4500"/>
    <s v="مكتمل"/>
    <n v="1300"/>
    <n v="0.28888888888888886"/>
    <x v="5"/>
    <s v="الربع 2"/>
  </r>
  <r>
    <s v="ORD-124"/>
    <d v="2025-05-19T00:00:00"/>
    <s v="نورة أحمد"/>
    <x v="0"/>
    <x v="1"/>
    <x v="1"/>
    <x v="2"/>
    <s v="ثلاجة وفريزر"/>
    <n v="1"/>
    <n v="5200"/>
    <n v="3800"/>
    <n v="5200"/>
    <s v="مكتمل"/>
    <n v="1400"/>
    <n v="0.26923076923076922"/>
    <x v="5"/>
    <s v="الربع 2"/>
  </r>
  <r>
    <s v="ORD-125"/>
    <d v="2025-05-20T00:00:00"/>
    <s v="خالد سالم"/>
    <x v="3"/>
    <x v="0"/>
    <x v="0"/>
    <x v="1"/>
    <s v="بدلة رسمية كاملة"/>
    <n v="1"/>
    <n v="1450"/>
    <n v="850"/>
    <n v="1450"/>
    <s v="مكتمل"/>
    <n v="600"/>
    <n v="0.41379310344827586"/>
    <x v="5"/>
    <s v="الربع 2"/>
  </r>
  <r>
    <s v="ORD-126"/>
    <d v="2025-05-21T00:00:00"/>
    <s v="منى حسن"/>
    <x v="0"/>
    <x v="0"/>
    <x v="1"/>
    <x v="3"/>
    <s v="أرفف جدارية"/>
    <n v="3"/>
    <n v="280"/>
    <n v="150"/>
    <n v="840"/>
    <s v="مكتمل"/>
    <n v="390"/>
    <n v="0.4642857142857143"/>
    <x v="5"/>
    <s v="الربع 2"/>
  </r>
  <r>
    <s v="ORD-127"/>
    <d v="2025-05-22T00:00:00"/>
    <s v="بدر فهد"/>
    <x v="1"/>
    <x v="1"/>
    <x v="0"/>
    <x v="0"/>
    <s v="جهاز عرض بدقة عالية"/>
    <n v="1"/>
    <n v="3500"/>
    <n v="2450"/>
    <n v="3500"/>
    <s v="مكتمل"/>
    <n v="1050"/>
    <n v="0.3"/>
    <x v="5"/>
    <s v="الربع 2"/>
  </r>
  <r>
    <s v="ORD-128"/>
    <d v="2025-05-23T00:00:00"/>
    <s v="شهد علي"/>
    <x v="2"/>
    <x v="1"/>
    <x v="1"/>
    <x v="2"/>
    <s v="غسالة ملابس أوتوماتيكية"/>
    <n v="1"/>
    <n v="3800"/>
    <n v="2800"/>
    <n v="3800"/>
    <s v="مكتمل"/>
    <n v="1000"/>
    <n v="0.26315789473684209"/>
    <x v="5"/>
    <s v="الربع 2"/>
  </r>
  <r>
    <s v="ORD-129"/>
    <d v="2025-05-24T00:00:00"/>
    <s v="محمد علي"/>
    <x v="0"/>
    <x v="0"/>
    <x v="0"/>
    <x v="1"/>
    <s v="قميص بتصميم خاص"/>
    <n v="4"/>
    <n v="180"/>
    <n v="90"/>
    <n v="720"/>
    <s v="مكتمل"/>
    <n v="360"/>
    <n v="0.5"/>
    <x v="5"/>
    <s v="الربع 2"/>
  </r>
  <r>
    <s v="ORD-130"/>
    <d v="2025-05-25T00:00:00"/>
    <s v="ديما سلمان"/>
    <x v="1"/>
    <x v="1"/>
    <x v="1"/>
    <x v="3"/>
    <s v="خزانة ملابس عصرية"/>
    <n v="1"/>
    <n v="1200"/>
    <n v="750"/>
    <n v="1200"/>
    <s v="مكتمل"/>
    <n v="450"/>
    <n v="0.375"/>
    <x v="5"/>
    <s v="الربع 2"/>
  </r>
  <r>
    <s v="ORD-131"/>
    <d v="2025-05-26T00:00:00"/>
    <s v="أحمد محمد"/>
    <x v="0"/>
    <x v="0"/>
    <x v="0"/>
    <x v="0"/>
    <s v="هاتف ذكي متطور"/>
    <n v="1"/>
    <n v="3600"/>
    <n v="2750"/>
    <n v="3600"/>
    <s v="مكتمل"/>
    <n v="850"/>
    <n v="0.2361111111111111"/>
    <x v="5"/>
    <s v="الربع 2"/>
  </r>
  <r>
    <s v="ORD-132"/>
    <d v="2025-05-27T00:00:00"/>
    <s v="سارة علي"/>
    <x v="1"/>
    <x v="1"/>
    <x v="1"/>
    <x v="2"/>
    <s v="مكواة بخار عمودية"/>
    <n v="1"/>
    <n v="520"/>
    <n v="300"/>
    <n v="520"/>
    <s v="مكتمل"/>
    <n v="220"/>
    <n v="0.42307692307692307"/>
    <x v="5"/>
    <s v="الربع 2"/>
  </r>
  <r>
    <s v="ORD-133"/>
    <d v="2025-05-28T00:00:00"/>
    <s v="فهد عبدالله"/>
    <x v="2"/>
    <x v="0"/>
    <x v="0"/>
    <x v="1"/>
    <s v="حقيبة سفر كبيرة"/>
    <n v="1"/>
    <n v="850"/>
    <n v="500"/>
    <n v="850"/>
    <s v="مكتمل"/>
    <n v="350"/>
    <n v="0.41176470588235292"/>
    <x v="5"/>
    <s v="الربع 2"/>
  </r>
  <r>
    <s v="ORD-134"/>
    <d v="2025-05-29T00:00:00"/>
    <s v="نورة أحمد"/>
    <x v="0"/>
    <x v="1"/>
    <x v="1"/>
    <x v="3"/>
    <s v="ستائر تعتيم"/>
    <n v="2"/>
    <n v="380"/>
    <n v="210"/>
    <n v="760"/>
    <s v="مكتمل"/>
    <n v="340"/>
    <n v="0.44736842105263158"/>
    <x v="5"/>
    <s v="الربع 2"/>
  </r>
  <r>
    <s v="ORD-135"/>
    <d v="2025-05-30T00:00:00"/>
    <s v="خالد سالم"/>
    <x v="3"/>
    <x v="0"/>
    <x v="0"/>
    <x v="0"/>
    <s v="ساعة ذكية متطورة"/>
    <n v="1"/>
    <n v="1500"/>
    <n v="1050"/>
    <n v="1500"/>
    <s v="مكتمل"/>
    <n v="450"/>
    <n v="0.3"/>
    <x v="5"/>
    <s v="الربع 2"/>
  </r>
  <r>
    <s v="ORD-136"/>
    <d v="2025-05-31T00:00:00"/>
    <s v="منى حسن"/>
    <x v="0"/>
    <x v="0"/>
    <x v="1"/>
    <x v="2"/>
    <s v="مروحة سقف حديثة"/>
    <n v="2"/>
    <n v="340"/>
    <n v="190"/>
    <n v="680"/>
    <s v="مكتمل"/>
    <n v="300"/>
    <n v="0.44117647058823528"/>
    <x v="5"/>
    <s v="الربع 2"/>
  </r>
  <r>
    <s v="ORD-137"/>
    <d v="2025-06-01T00:00:00"/>
    <s v="بدر فهد"/>
    <x v="1"/>
    <x v="1"/>
    <x v="0"/>
    <x v="1"/>
    <s v="ثوب رجالي بسعر مخفض"/>
    <n v="1"/>
    <n v="290"/>
    <n v="150"/>
    <n v="290"/>
    <s v="مكتمل"/>
    <n v="140"/>
    <n v="0.48275862068965519"/>
    <x v="2"/>
    <s v="الربع 2"/>
  </r>
  <r>
    <s v="ORD-138"/>
    <d v="2025-06-02T00:00:00"/>
    <s v="شهد علي"/>
    <x v="2"/>
    <x v="1"/>
    <x v="1"/>
    <x v="3"/>
    <s v="مفرش سرير قطني"/>
    <n v="1"/>
    <n v="480"/>
    <n v="260"/>
    <n v="480"/>
    <s v="مكتمل"/>
    <n v="220"/>
    <n v="0.45833333333333331"/>
    <x v="2"/>
    <s v="الربع 2"/>
  </r>
  <r>
    <s v="ORD-139"/>
    <d v="2025-06-03T00:00:00"/>
    <s v="محمد علي"/>
    <x v="0"/>
    <x v="0"/>
    <x v="0"/>
    <x v="0"/>
    <s v="كمبيوتر محمول خفيف"/>
    <n v="1"/>
    <n v="4200"/>
    <n v="3050"/>
    <n v="4200"/>
    <s v="مكتمل"/>
    <n v="1150"/>
    <n v="0.27380952380952384"/>
    <x v="2"/>
    <s v="الربع 2"/>
  </r>
  <r>
    <s v="ORD-140"/>
    <d v="2025-04-06T00:00:00"/>
    <s v="ديما سلمان"/>
    <x v="1"/>
    <x v="1"/>
    <x v="1"/>
    <x v="2"/>
    <s v="فرن كهربائي مدمج"/>
    <n v="1"/>
    <n v="2800"/>
    <n v="1950"/>
    <n v="2800"/>
    <s v="مكتمل"/>
    <n v="850"/>
    <n v="0.30357142857142855"/>
    <x v="8"/>
    <s v="الربع 2"/>
  </r>
  <r>
    <s v="ORD-141"/>
    <d v="2025-06-05T00:00:00"/>
    <s v="أحمد محمد"/>
    <x v="0"/>
    <x v="0"/>
    <x v="0"/>
    <x v="1"/>
    <s v="معطف صيفي"/>
    <n v="1"/>
    <n v="480"/>
    <n v="270"/>
    <n v="480"/>
    <s v="مكتمل"/>
    <n v="210"/>
    <n v="0.4375"/>
    <x v="2"/>
    <s v="الربع 2"/>
  </r>
  <r>
    <s v="ORD-142"/>
    <d v="2025-06-06T00:00:00"/>
    <s v="سارة علي"/>
    <x v="1"/>
    <x v="2"/>
    <x v="1"/>
    <x v="3"/>
    <s v="أواني مطبخ زجاجية"/>
    <n v="6"/>
    <n v="140"/>
    <n v="70"/>
    <n v="840"/>
    <s v="مكتمل"/>
    <n v="420"/>
    <n v="0.5"/>
    <x v="2"/>
    <s v="الربع 2"/>
  </r>
  <r>
    <s v="ORD-143"/>
    <d v="2025-06-07T00:00:00"/>
    <s v="فهد عبدالله"/>
    <x v="2"/>
    <x v="0"/>
    <x v="0"/>
    <x v="0"/>
    <s v="سماعة أذن لاسلكية"/>
    <n v="2"/>
    <n v="250"/>
    <n v="130"/>
    <n v="500"/>
    <s v="مكتمل"/>
    <n v="240"/>
    <n v="0.48"/>
    <x v="2"/>
    <s v="الربع 2"/>
  </r>
  <r>
    <s v="ORD-144"/>
    <d v="2025-06-08T00:00:00"/>
    <s v="نورة أحمد"/>
    <x v="0"/>
    <x v="1"/>
    <x v="1"/>
    <x v="2"/>
    <s v="مكنسة يدوية"/>
    <n v="1"/>
    <n v="850"/>
    <n v="520"/>
    <n v="850"/>
    <s v="مكتمل"/>
    <n v="330"/>
    <n v="0.38823529411764707"/>
    <x v="2"/>
    <s v="الربع 2"/>
  </r>
  <r>
    <s v="ORD-145"/>
    <d v="2025-06-09T00:00:00"/>
    <s v="خالد سالم"/>
    <x v="3"/>
    <x v="0"/>
    <x v="0"/>
    <x v="1"/>
    <s v="حذاء رياضي مريح"/>
    <n v="2"/>
    <n v="280"/>
    <n v="150"/>
    <n v="560"/>
    <s v="مكتمل"/>
    <n v="260"/>
    <n v="0.4642857142857143"/>
    <x v="2"/>
    <s v="الربع 2"/>
  </r>
  <r>
    <s v="ORD-146"/>
    <d v="2025-10-06T00:00:00"/>
    <s v="منى حسن"/>
    <x v="0"/>
    <x v="0"/>
    <x v="1"/>
    <x v="3"/>
    <s v="طاولة طعام خشبية"/>
    <n v="1"/>
    <n v="3200"/>
    <n v="2100"/>
    <n v="3200"/>
    <s v="مكتمل"/>
    <n v="1100"/>
    <n v="0.34375"/>
    <x v="3"/>
    <s v="الربع 4"/>
  </r>
  <r>
    <s v="ORD-147"/>
    <d v="2025-06-11T00:00:00"/>
    <s v="بدر فهد"/>
    <x v="1"/>
    <x v="1"/>
    <x v="0"/>
    <x v="0"/>
    <s v="كمبيوتر لوحي متطور"/>
    <n v="1"/>
    <n v="2200"/>
    <n v="1550"/>
    <n v="2200"/>
    <s v="مكتمل"/>
    <n v="650"/>
    <n v="0.29545454545454547"/>
    <x v="2"/>
    <s v="الربع 2"/>
  </r>
  <r>
    <s v="ORD-148"/>
    <d v="2025-06-12T00:00:00"/>
    <s v="شهد علي"/>
    <x v="2"/>
    <x v="1"/>
    <x v="1"/>
    <x v="2"/>
    <s v="مكيف صحراوي كبير"/>
    <n v="1"/>
    <n v="3800"/>
    <n v="2700"/>
    <n v="3800"/>
    <s v="مكتمل"/>
    <n v="1100"/>
    <n v="0.28947368421052633"/>
    <x v="2"/>
    <s v="الربع 2"/>
  </r>
  <r>
    <s v="ORD-149"/>
    <d v="2025-06-13T00:00:00"/>
    <s v="محمد علي"/>
    <x v="0"/>
    <x v="0"/>
    <x v="0"/>
    <x v="1"/>
    <s v="قميص صيفي"/>
    <n v="5"/>
    <n v="110"/>
    <n v="55"/>
    <n v="550"/>
    <s v="مكتمل"/>
    <n v="275"/>
    <n v="0.5"/>
    <x v="2"/>
    <s v="الربع 2"/>
  </r>
  <r>
    <s v="ORD-150"/>
    <d v="2025-06-14T00:00:00"/>
    <s v="ديما سلمان"/>
    <x v="1"/>
    <x v="1"/>
    <x v="1"/>
    <x v="3"/>
    <s v="مرآة ديكور كبيرة"/>
    <n v="1"/>
    <n v="850"/>
    <n v="500"/>
    <n v="850"/>
    <s v="مكتمل"/>
    <n v="350"/>
    <n v="0.41176470588235292"/>
    <x v="2"/>
    <s v="الربع 2"/>
  </r>
  <r>
    <s v="ORD-151"/>
    <d v="2025-06-15T00:00:00"/>
    <s v="أحمد محمد"/>
    <x v="0"/>
    <x v="0"/>
    <x v="0"/>
    <x v="0"/>
    <s v="راوتر عالي السرعة"/>
    <n v="1"/>
    <n v="620"/>
    <n v="360"/>
    <n v="620"/>
    <s v="مكتمل"/>
    <n v="260"/>
    <n v="0.41935483870967744"/>
    <x v="2"/>
    <s v="الربع 2"/>
  </r>
  <r>
    <s v="ORD-152"/>
    <d v="2025-06-16T00:00:00"/>
    <s v="سارة علي"/>
    <x v="1"/>
    <x v="1"/>
    <x v="1"/>
    <x v="2"/>
    <s v="خلاط عصير"/>
    <n v="2"/>
    <n v="240"/>
    <n v="130"/>
    <n v="480"/>
    <s v="مكتمل"/>
    <n v="220"/>
    <n v="0.45833333333333331"/>
    <x v="2"/>
    <s v="الربع 2"/>
  </r>
  <r>
    <s v="ORD-153"/>
    <d v="2025-06-17T00:00:00"/>
    <s v="فهد عبدالله"/>
    <x v="2"/>
    <x v="0"/>
    <x v="0"/>
    <x v="1"/>
    <s v="بنطلون قطني"/>
    <n v="3"/>
    <n v="190"/>
    <n v="95"/>
    <n v="570"/>
    <s v="مكتمل"/>
    <n v="285"/>
    <n v="0.5"/>
    <x v="2"/>
    <s v="الربع 2"/>
  </r>
  <r>
    <s v="ORD-154"/>
    <d v="2025-06-18T00:00:00"/>
    <s v="نورة أحمد"/>
    <x v="0"/>
    <x v="1"/>
    <x v="1"/>
    <x v="3"/>
    <s v="سجادة صغيرة للأطفال"/>
    <n v="1"/>
    <n v="520"/>
    <n v="300"/>
    <n v="520"/>
    <s v="مكتمل"/>
    <n v="220"/>
    <n v="0.42307692307692307"/>
    <x v="2"/>
    <s v="الربع 2"/>
  </r>
  <r>
    <s v="ORD-155"/>
    <d v="2025-06-19T00:00:00"/>
    <s v="خالد سالم"/>
    <x v="3"/>
    <x v="0"/>
    <x v="0"/>
    <x v="0"/>
    <s v="طابعة منزلية"/>
    <n v="1"/>
    <n v="950"/>
    <n v="650"/>
    <n v="950"/>
    <s v="مكتمل"/>
    <n v="300"/>
    <n v="0.31578947368421051"/>
    <x v="2"/>
    <s v="الربع 2"/>
  </r>
  <r>
    <s v="ORD-156"/>
    <d v="2025-06-20T00:00:00"/>
    <s v="منى حسن"/>
    <x v="0"/>
    <x v="0"/>
    <x v="1"/>
    <x v="2"/>
    <s v="مبرد ماء صغير"/>
    <n v="1"/>
    <n v="850"/>
    <n v="540"/>
    <n v="850"/>
    <s v="مكتمل"/>
    <n v="310"/>
    <n v="0.36470588235294116"/>
    <x v="2"/>
    <s v="الربع 2"/>
  </r>
  <r>
    <s v="ORD-157"/>
    <d v="2025-06-21T00:00:00"/>
    <s v="بدر فهد"/>
    <x v="1"/>
    <x v="1"/>
    <x v="0"/>
    <x v="1"/>
    <s v="حقيبة يد جلدية"/>
    <n v="1"/>
    <n v="650"/>
    <n v="380"/>
    <n v="650"/>
    <s v="مكتمل"/>
    <n v="270"/>
    <n v="0.41538461538461541"/>
    <x v="2"/>
    <s v="الربع 2"/>
  </r>
  <r>
    <s v="ORD-158"/>
    <d v="2025-06-22T00:00:00"/>
    <s v="شهد علي"/>
    <x v="2"/>
    <x v="1"/>
    <x v="1"/>
    <x v="3"/>
    <s v="مفرش سرير مزدوج"/>
    <n v="1"/>
    <n v="620"/>
    <n v="340"/>
    <n v="620"/>
    <s v="مكتمل"/>
    <n v="280"/>
    <n v="0.45161290322580644"/>
    <x v="2"/>
    <s v="الربع 2"/>
  </r>
  <r>
    <s v="ORD-159"/>
    <d v="2025-06-23T00:00:00"/>
    <s v="محمد علي"/>
    <x v="0"/>
    <x v="0"/>
    <x v="0"/>
    <x v="0"/>
    <s v="فلاش ميموري سريع"/>
    <n v="5"/>
    <n v="120"/>
    <n v="60"/>
    <n v="600"/>
    <s v="مكتمل"/>
    <n v="300"/>
    <n v="0.5"/>
    <x v="2"/>
    <s v="الربع 2"/>
  </r>
  <r>
    <s v="ORD-160"/>
    <d v="2025-06-24T00:00:00"/>
    <s v="ديما سلمان"/>
    <x v="1"/>
    <x v="1"/>
    <x v="1"/>
    <x v="2"/>
    <s v="ميكروويف عادي"/>
    <n v="1"/>
    <n v="1100"/>
    <n v="720"/>
    <n v="1100"/>
    <s v="مكتمل"/>
    <n v="380"/>
    <n v="0.34545454545454546"/>
    <x v="2"/>
    <s v="الربع 2"/>
  </r>
  <r>
    <s v="ORD-161"/>
    <d v="2025-06-25T00:00:00"/>
    <s v="أحمد محمد"/>
    <x v="0"/>
    <x v="0"/>
    <x v="0"/>
    <x v="1"/>
    <s v="ثوب صيفي"/>
    <n v="2"/>
    <n v="210"/>
    <n v="110"/>
    <n v="420"/>
    <s v="مكتمل"/>
    <n v="200"/>
    <n v="0.47619047619047616"/>
    <x v="2"/>
    <s v="الربع 2"/>
  </r>
  <r>
    <s v="ORD-162"/>
    <d v="2025-06-26T00:00:00"/>
    <s v="سارة علي"/>
    <x v="1"/>
    <x v="2"/>
    <x v="1"/>
    <x v="3"/>
    <s v="وسادة للسرير"/>
    <n v="4"/>
    <n v="150"/>
    <n v="75"/>
    <n v="600"/>
    <s v="مكتمل"/>
    <n v="300"/>
    <n v="0.5"/>
    <x v="2"/>
    <s v="الربع 2"/>
  </r>
  <r>
    <s v="ORD-163"/>
    <d v="2025-06-27T00:00:00"/>
    <s v="فهد عبدالله"/>
    <x v="2"/>
    <x v="0"/>
    <x v="0"/>
    <x v="0"/>
    <s v="كابل شحن سريع"/>
    <n v="8"/>
    <n v="55"/>
    <n v="25"/>
    <n v="440"/>
    <s v="مكتمل"/>
    <n v="240"/>
    <n v="0.54545454545454541"/>
    <x v="2"/>
    <s v="الربع 2"/>
  </r>
  <r>
    <s v="ORD-164"/>
    <d v="2025-06-28T00:00:00"/>
    <s v="نورة أحمد"/>
    <x v="0"/>
    <x v="1"/>
    <x v="1"/>
    <x v="2"/>
    <s v="مكواة ملابس بسيطة"/>
    <n v="1"/>
    <n v="290"/>
    <n v="160"/>
    <n v="290"/>
    <s v="مكتمل"/>
    <n v="130"/>
    <n v="0.44827586206896552"/>
    <x v="2"/>
    <s v="الربع 2"/>
  </r>
  <r>
    <s v="ORD-165"/>
    <d v="2025-06-29T00:00:00"/>
    <s v="خالد سالم"/>
    <x v="3"/>
    <x v="0"/>
    <x v="0"/>
    <x v="1"/>
    <s v="حذاء رسمي جلدي"/>
    <n v="1"/>
    <n v="480"/>
    <n v="270"/>
    <n v="480"/>
    <s v="مكتمل"/>
    <n v="210"/>
    <n v="0.4375"/>
    <x v="2"/>
    <s v="الربع 2"/>
  </r>
  <r>
    <s v="ORD-166"/>
    <d v="2025-06-30T00:00:00"/>
    <s v="منى حسن"/>
    <x v="0"/>
    <x v="0"/>
    <x v="1"/>
    <x v="3"/>
    <s v="رف أحذية"/>
    <n v="2"/>
    <n v="240"/>
    <n v="130"/>
    <n v="480"/>
    <s v="مكتمل"/>
    <n v="220"/>
    <n v="0.45833333333333331"/>
    <x v="2"/>
    <s v="الربع 2"/>
  </r>
  <r>
    <s v="ORD-167"/>
    <d v="2025-07-01T00:00:00"/>
    <s v="بدر فهد"/>
    <x v="1"/>
    <x v="1"/>
    <x v="0"/>
    <x v="0"/>
    <s v="شاشة حاسوب مقاس كبير"/>
    <n v="1"/>
    <n v="1850"/>
    <n v="1250"/>
    <n v="1850"/>
    <s v="مكتمل"/>
    <n v="600"/>
    <n v="0.32432432432432434"/>
    <x v="10"/>
    <s v="الربع 3"/>
  </r>
  <r>
    <s v="ORD-168"/>
    <d v="2025-07-02T00:00:00"/>
    <s v="شهد علي"/>
    <x v="2"/>
    <x v="1"/>
    <x v="1"/>
    <x v="2"/>
    <s v="مروحة سقف حديثة"/>
    <n v="1"/>
    <n v="320"/>
    <n v="180"/>
    <n v="320"/>
    <s v="مكتمل"/>
    <n v="140"/>
    <n v="0.4375"/>
    <x v="10"/>
    <s v="الربع 3"/>
  </r>
  <r>
    <s v="ORD-169"/>
    <d v="2025-07-03T00:00:00"/>
    <s v="محمد علي"/>
    <x v="0"/>
    <x v="0"/>
    <x v="0"/>
    <x v="1"/>
    <s v="وشاح"/>
    <n v="6"/>
    <n v="85"/>
    <n v="40"/>
    <n v="510"/>
    <s v="مكتمل"/>
    <n v="270"/>
    <n v="0.52941176470588236"/>
    <x v="10"/>
    <s v="الربع 3"/>
  </r>
  <r>
    <s v="ORD-170"/>
    <d v="2025-04-07T00:00:00"/>
    <s v="ديما سلمان"/>
    <x v="1"/>
    <x v="1"/>
    <x v="1"/>
    <x v="3"/>
    <s v="سلة مهملات ذكية"/>
    <n v="3"/>
    <n v="180"/>
    <n v="95"/>
    <n v="540"/>
    <s v="مكتمل"/>
    <n v="255"/>
    <n v="0.47222222222222221"/>
    <x v="8"/>
    <s v="الربع 2"/>
  </r>
  <r>
    <s v="ORD-171"/>
    <d v="2025-07-05T00:00:00"/>
    <s v="أحمد محمد"/>
    <x v="0"/>
    <x v="0"/>
    <x v="0"/>
    <x v="0"/>
    <s v="سماعة رأس لاسلكية"/>
    <n v="1"/>
    <n v="450"/>
    <n v="240"/>
    <n v="450"/>
    <s v="مكتمل"/>
    <n v="210"/>
    <n v="0.46666666666666667"/>
    <x v="10"/>
    <s v="الربع 3"/>
  </r>
  <r>
    <s v="ORD-172"/>
    <d v="2025-07-06T00:00:00"/>
    <s v="سارة علي"/>
    <x v="1"/>
    <x v="1"/>
    <x v="1"/>
    <x v="2"/>
    <s v="محمصة خبز عصرية"/>
    <n v="1"/>
    <n v="380"/>
    <n v="210"/>
    <n v="380"/>
    <s v="مكتمل"/>
    <n v="170"/>
    <n v="0.44736842105263158"/>
    <x v="10"/>
    <s v="الربع 3"/>
  </r>
  <r>
    <s v="ORD-173"/>
    <d v="2025-07-07T00:00:00"/>
    <s v="فهد عبدالله"/>
    <x v="2"/>
    <x v="0"/>
    <x v="0"/>
    <x v="1"/>
    <s v="جاكيت"/>
    <n v="1"/>
    <n v="950"/>
    <n v="550"/>
    <n v="950"/>
    <s v="مكتمل"/>
    <n v="400"/>
    <n v="0.42105263157894735"/>
    <x v="10"/>
    <s v="الربع 3"/>
  </r>
  <r>
    <s v="ORD-174"/>
    <d v="2025-07-08T00:00:00"/>
    <s v="نورة أحمد"/>
    <x v="0"/>
    <x v="1"/>
    <x v="1"/>
    <x v="3"/>
    <s v="شموع ديكور"/>
    <n v="12"/>
    <n v="40"/>
    <n v="18"/>
    <n v="480"/>
    <s v="مكتمل"/>
    <n v="264"/>
    <n v="0.55000000000000004"/>
    <x v="10"/>
    <s v="الربع 3"/>
  </r>
  <r>
    <s v="ORD-175"/>
    <d v="2025-07-09T00:00:00"/>
    <s v="خالد سالم"/>
    <x v="3"/>
    <x v="0"/>
    <x v="0"/>
    <x v="0"/>
    <s v="لوحة مفاتيح لاسلكية"/>
    <n v="2"/>
    <n v="280"/>
    <n v="150"/>
    <n v="560"/>
    <s v="مكتمل"/>
    <n v="260"/>
    <n v="0.4642857142857143"/>
    <x v="10"/>
    <s v="الربع 3"/>
  </r>
  <r>
    <s v="ORD-176"/>
    <d v="2025-10-07T00:00:00"/>
    <s v="منى حسن"/>
    <x v="0"/>
    <x v="0"/>
    <x v="1"/>
    <x v="2"/>
    <s v="غلاية ماء سريعة"/>
    <n v="2"/>
    <n v="195"/>
    <n v="105"/>
    <n v="390"/>
    <s v="مكتمل"/>
    <n v="180"/>
    <n v="0.46153846153846156"/>
    <x v="3"/>
    <s v="الربع 4"/>
  </r>
  <r>
    <s v="ORD-177"/>
    <d v="2025-07-11T00:00:00"/>
    <s v="بدر فهد"/>
    <x v="1"/>
    <x v="1"/>
    <x v="0"/>
    <x v="1"/>
    <s v="فستان سهرة"/>
    <n v="1"/>
    <n v="920"/>
    <n v="520"/>
    <n v="920"/>
    <s v="مكتمل"/>
    <n v="400"/>
    <n v="0.43478260869565216"/>
    <x v="10"/>
    <s v="الربع 3"/>
  </r>
  <r>
    <s v="ORD-178"/>
    <d v="2025-07-12T00:00:00"/>
    <s v="شهد علي"/>
    <x v="2"/>
    <x v="1"/>
    <x v="1"/>
    <x v="3"/>
    <s v="طاولة قهوة"/>
    <n v="1"/>
    <n v="1250"/>
    <n v="780"/>
    <n v="1250"/>
    <s v="مكتمل"/>
    <n v="470"/>
    <n v="0.376"/>
    <x v="10"/>
    <s v="الربع 3"/>
  </r>
  <r>
    <s v="ORD-179"/>
    <d v="2025-07-13T00:00:00"/>
    <s v="محمد علي"/>
    <x v="0"/>
    <x v="0"/>
    <x v="0"/>
    <x v="0"/>
    <s v="فأرة حاسوب"/>
    <n v="3"/>
    <n v="140"/>
    <n v="75"/>
    <n v="420"/>
    <s v="مكتمل"/>
    <n v="195"/>
    <n v="0.4642857142857143"/>
    <x v="10"/>
    <s v="الربع 3"/>
  </r>
  <r>
    <s v="ORD-180"/>
    <d v="2025-07-14T00:00:00"/>
    <s v="ديما سلمان"/>
    <x v="1"/>
    <x v="1"/>
    <x v="1"/>
    <x v="2"/>
    <s v="مكيف جداري"/>
    <n v="1"/>
    <n v="3800"/>
    <n v="2800"/>
    <n v="3800"/>
    <s v="مكتمل"/>
    <n v="1000"/>
    <n v="0.26315789473684209"/>
    <x v="10"/>
    <s v="الربع 3"/>
  </r>
  <r>
    <s v="ORD-181"/>
    <d v="2025-07-15T00:00:00"/>
    <s v="أحمد محمد"/>
    <x v="0"/>
    <x v="0"/>
    <x v="0"/>
    <x v="1"/>
    <s v="عباءة عصرية"/>
    <n v="1"/>
    <n v="620"/>
    <n v="360"/>
    <n v="620"/>
    <s v="مكتمل"/>
    <n v="260"/>
    <n v="0.41935483870967744"/>
    <x v="10"/>
    <s v="الربع 3"/>
  </r>
  <r>
    <s v="ORD-182"/>
    <d v="2025-07-16T00:00:00"/>
    <s v="سارة علي"/>
    <x v="1"/>
    <x v="2"/>
    <x v="1"/>
    <x v="3"/>
    <s v="سجادة صالة"/>
    <n v="1"/>
    <n v="2100"/>
    <n v="1350"/>
    <n v="2100"/>
    <s v="مكتمل"/>
    <n v="750"/>
    <n v="0.35714285714285715"/>
    <x v="10"/>
    <s v="الربع 3"/>
  </r>
  <r>
    <s v="ORD-183"/>
    <d v="2025-07-17T00:00:00"/>
    <s v="فهد عبدالله"/>
    <x v="2"/>
    <x v="0"/>
    <x v="0"/>
    <x v="0"/>
    <s v="كاميرا مراقبة"/>
    <n v="1"/>
    <n v="950"/>
    <n v="580"/>
    <n v="950"/>
    <s v="مكتمل"/>
    <n v="370"/>
    <n v="0.38947368421052631"/>
    <x v="10"/>
    <s v="الربع 3"/>
  </r>
  <r>
    <s v="ORD-184"/>
    <d v="2025-07-18T00:00:00"/>
    <s v="نورة أحمد"/>
    <x v="0"/>
    <x v="1"/>
    <x v="1"/>
    <x v="2"/>
    <s v="ثلاجة صغيرة"/>
    <n v="1"/>
    <n v="2200"/>
    <n v="1550"/>
    <n v="2200"/>
    <s v="مكتمل"/>
    <n v="650"/>
    <n v="0.29545454545454547"/>
    <x v="10"/>
    <s v="الربع 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3:B15" firstHeaderRow="1" firstDataRow="1" firstDataCol="1"/>
  <pivotFields count="18">
    <pivotField showAll="0"/>
    <pivotField numFmtId="14" showAll="0"/>
    <pivotField showAll="0"/>
    <pivotField showAll="0"/>
    <pivotField showAll="0"/>
    <pivotField showAll="0">
      <items count="3">
        <item x="1"/>
        <item x="0"/>
        <item t="default"/>
      </items>
    </pivotField>
    <pivotField showAll="0">
      <items count="5">
        <item x="2"/>
        <item x="0"/>
        <item x="3"/>
        <item x="1"/>
        <item t="default"/>
      </items>
    </pivotField>
    <pivotField showAll="0"/>
    <pivotField showAll="0"/>
    <pivotField numFmtId="44" showAll="0"/>
    <pivotField numFmtId="44" showAll="0"/>
    <pivotField dataField="1" numFmtId="44" showAll="0"/>
    <pivotField showAll="0"/>
    <pivotField numFmtId="44" showAll="0"/>
    <pivotField numFmtId="9" showAll="0"/>
    <pivotField axis="axisRow" showAll="0">
      <items count="12">
        <item x="0"/>
        <item x="1"/>
        <item x="4"/>
        <item x="8"/>
        <item x="5"/>
        <item x="2"/>
        <item x="10"/>
        <item x="6"/>
        <item x="3"/>
        <item x="9"/>
        <item x="7"/>
        <item t="default"/>
      </items>
    </pivotField>
    <pivotField showAll="0"/>
    <pivotField dragToRow="0" dragToCol="0" dragToPage="0" showAll="0" defaultSubtotal="0"/>
  </pivotFields>
  <rowFields count="1">
    <field x="15"/>
  </rowFields>
  <rowItems count="12">
    <i>
      <x/>
    </i>
    <i>
      <x v="1"/>
    </i>
    <i>
      <x v="2"/>
    </i>
    <i>
      <x v="3"/>
    </i>
    <i>
      <x v="4"/>
    </i>
    <i>
      <x v="5"/>
    </i>
    <i>
      <x v="6"/>
    </i>
    <i>
      <x v="7"/>
    </i>
    <i>
      <x v="8"/>
    </i>
    <i>
      <x v="9"/>
    </i>
    <i>
      <x v="10"/>
    </i>
    <i t="grand">
      <x/>
    </i>
  </rowItems>
  <colItems count="1">
    <i/>
  </colItems>
  <dataFields count="1">
    <dataField name="Sum of Total Sales" fld="11"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1:D6" firstHeaderRow="0" firstDataRow="1" firstDataCol="1"/>
  <pivotFields count="18">
    <pivotField showAll="0"/>
    <pivotField numFmtId="14" showAll="0"/>
    <pivotField showAll="0"/>
    <pivotField showAll="0"/>
    <pivotField showAll="0"/>
    <pivotField showAll="0">
      <items count="3">
        <item x="1"/>
        <item x="0"/>
        <item t="default"/>
      </items>
    </pivotField>
    <pivotField axis="axisRow" showAll="0">
      <items count="5">
        <item x="2"/>
        <item x="0"/>
        <item x="3"/>
        <item x="1"/>
        <item t="default"/>
      </items>
    </pivotField>
    <pivotField showAll="0"/>
    <pivotField showAll="0"/>
    <pivotField numFmtId="44" showAll="0"/>
    <pivotField numFmtId="44" showAll="0"/>
    <pivotField dataField="1" numFmtId="44" showAll="0"/>
    <pivotField showAll="0"/>
    <pivotField dataField="1" numFmtId="44" showAll="0"/>
    <pivotField dataField="1" numFmtId="9" showAll="0"/>
    <pivotField showAll="0">
      <items count="12">
        <item x="0"/>
        <item x="1"/>
        <item x="4"/>
        <item x="8"/>
        <item x="5"/>
        <item x="2"/>
        <item x="10"/>
        <item x="6"/>
        <item x="3"/>
        <item x="9"/>
        <item x="7"/>
        <item t="default"/>
      </items>
    </pivotField>
    <pivotField showAll="0"/>
    <pivotField dragToRow="0" dragToCol="0" dragToPage="0" showAll="0" defaultSubtotal="0"/>
  </pivotFields>
  <rowFields count="1">
    <field x="6"/>
  </rowFields>
  <rowItems count="5">
    <i>
      <x/>
    </i>
    <i>
      <x v="1"/>
    </i>
    <i>
      <x v="2"/>
    </i>
    <i>
      <x v="3"/>
    </i>
    <i t="grand">
      <x/>
    </i>
  </rowItems>
  <colFields count="1">
    <field x="-2"/>
  </colFields>
  <colItems count="3">
    <i>
      <x/>
    </i>
    <i i="1">
      <x v="1"/>
    </i>
    <i i="2">
      <x v="2"/>
    </i>
  </colItems>
  <dataFields count="3">
    <dataField name="Sum of Total Sales" fld="11" baseField="0" baseItem="0"/>
    <dataField name="Sum of Profit" fld="13" baseField="0" baseItem="0"/>
    <dataField name="Sum of Profit Margin" fld="14" baseField="0" baseItem="0" numFmtId="44"/>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2"/>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1:C4" firstHeaderRow="0" firstDataRow="1" firstDataCol="1"/>
  <pivotFields count="18">
    <pivotField showAll="0"/>
    <pivotField numFmtId="14" showAll="0"/>
    <pivotField showAll="0"/>
    <pivotField showAll="0"/>
    <pivotField showAll="0"/>
    <pivotField axis="axisRow" showAll="0">
      <items count="3">
        <item x="1"/>
        <item x="0"/>
        <item t="default"/>
      </items>
    </pivotField>
    <pivotField showAll="0">
      <items count="5">
        <item x="2"/>
        <item x="0"/>
        <item x="3"/>
        <item x="1"/>
        <item t="default"/>
      </items>
    </pivotField>
    <pivotField showAll="0"/>
    <pivotField showAll="0"/>
    <pivotField numFmtId="44" showAll="0"/>
    <pivotField numFmtId="44" showAll="0"/>
    <pivotField dataField="1" numFmtId="44" showAll="0"/>
    <pivotField showAll="0"/>
    <pivotField numFmtId="44" showAll="0"/>
    <pivotField numFmtId="9" showAll="0"/>
    <pivotField showAll="0">
      <items count="12">
        <item x="0"/>
        <item x="1"/>
        <item x="4"/>
        <item x="8"/>
        <item x="5"/>
        <item x="2"/>
        <item x="10"/>
        <item x="6"/>
        <item x="3"/>
        <item x="9"/>
        <item x="7"/>
        <item t="default"/>
      </items>
    </pivotField>
    <pivotField showAll="0"/>
    <pivotField dragToRow="0" dragToCol="0" dragToPage="0" showAll="0" defaultSubtotal="0"/>
  </pivotFields>
  <rowFields count="1">
    <field x="5"/>
  </rowFields>
  <rowItems count="3">
    <i>
      <x/>
    </i>
    <i>
      <x v="1"/>
    </i>
    <i t="grand">
      <x/>
    </i>
  </rowItems>
  <colFields count="1">
    <field x="-2"/>
  </colFields>
  <colItems count="2">
    <i>
      <x/>
    </i>
    <i i="1">
      <x v="1"/>
    </i>
  </colItems>
  <dataFields count="2">
    <dataField name="Sum of Total Sales" fld="11" baseField="0" baseItem="0"/>
    <dataField name="Average Order Value by chanel" fld="11" subtotal="average" baseField="5" baseItem="0"/>
  </dataFields>
  <chartFormats count="12">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5" count="1" selected="0">
            <x v="0"/>
          </reference>
        </references>
      </pivotArea>
    </chartFormat>
    <chartFormat chart="3" format="11">
      <pivotArea type="data" outline="0" fieldPosition="0">
        <references count="2">
          <reference field="4294967294" count="1" selected="0">
            <x v="0"/>
          </reference>
          <reference field="5" count="1" selected="0">
            <x v="1"/>
          </reference>
        </references>
      </pivotArea>
    </chartFormat>
    <chartFormat chart="3" format="12" series="1">
      <pivotArea type="data" outline="0" fieldPosition="0">
        <references count="1">
          <reference field="4294967294" count="1" selected="0">
            <x v="1"/>
          </reference>
        </references>
      </pivotArea>
    </chartFormat>
    <chartFormat chart="3" format="13">
      <pivotArea type="data" outline="0" fieldPosition="0">
        <references count="2">
          <reference field="4294967294" count="1" selected="0">
            <x v="1"/>
          </reference>
          <reference field="5" count="1" selected="0">
            <x v="0"/>
          </reference>
        </references>
      </pivotArea>
    </chartFormat>
    <chartFormat chart="3" format="14">
      <pivotArea type="data" outline="0" fieldPosition="0">
        <references count="2">
          <reference field="4294967294" count="1" selected="0">
            <x v="1"/>
          </reference>
          <reference field="5" count="1" selected="0">
            <x v="1"/>
          </reference>
        </references>
      </pivotArea>
    </chartFormat>
    <chartFormat chart="0" format="3">
      <pivotArea type="data" outline="0" fieldPosition="0">
        <references count="2">
          <reference field="4294967294" count="1" selected="0">
            <x v="0"/>
          </reference>
          <reference field="5" count="1" selected="0">
            <x v="0"/>
          </reference>
        </references>
      </pivotArea>
    </chartFormat>
    <chartFormat chart="0" format="4">
      <pivotArea type="data" outline="0" fieldPosition="0">
        <references count="2">
          <reference field="4294967294" count="1" selected="0">
            <x v="0"/>
          </reference>
          <reference field="5" count="1" selected="0">
            <x v="1"/>
          </reference>
        </references>
      </pivotArea>
    </chartFormat>
    <chartFormat chart="0" format="5">
      <pivotArea type="data" outline="0" fieldPosition="0">
        <references count="2">
          <reference field="4294967294" count="1" selected="0">
            <x v="1"/>
          </reference>
          <reference field="5" count="1" selected="0">
            <x v="0"/>
          </reference>
        </references>
      </pivotArea>
    </chartFormat>
    <chartFormat chart="0" format="6">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5">
  <location ref="A1:C6" firstHeaderRow="0" firstDataRow="1" firstDataCol="1"/>
  <pivotFields count="18">
    <pivotField showAll="0"/>
    <pivotField numFmtId="14" showAll="0"/>
    <pivotField dataField="1" showAll="0"/>
    <pivotField axis="axisRow" showAll="0" sortType="descending">
      <items count="6">
        <item x="2"/>
        <item x="0"/>
        <item m="1" x="4"/>
        <item x="1"/>
        <item x="3"/>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items count="5">
        <item x="2"/>
        <item x="0"/>
        <item x="3"/>
        <item x="1"/>
        <item t="default"/>
      </items>
    </pivotField>
    <pivotField showAll="0"/>
    <pivotField showAll="0"/>
    <pivotField numFmtId="44" showAll="0"/>
    <pivotField numFmtId="44" showAll="0"/>
    <pivotField dataField="1" numFmtId="44" showAll="0"/>
    <pivotField showAll="0"/>
    <pivotField numFmtId="44" showAll="0"/>
    <pivotField numFmtId="9" showAll="0"/>
    <pivotField showAll="0">
      <items count="12">
        <item x="0"/>
        <item x="1"/>
        <item x="4"/>
        <item x="8"/>
        <item x="5"/>
        <item x="2"/>
        <item x="10"/>
        <item x="6"/>
        <item x="3"/>
        <item x="9"/>
        <item x="7"/>
        <item t="default"/>
      </items>
    </pivotField>
    <pivotField showAll="0"/>
    <pivotField dragToRow="0" dragToCol="0" dragToPage="0" showAll="0" defaultSubtotal="0"/>
  </pivotFields>
  <rowFields count="1">
    <field x="3"/>
  </rowFields>
  <rowItems count="5">
    <i>
      <x v="1"/>
    </i>
    <i>
      <x v="3"/>
    </i>
    <i>
      <x/>
    </i>
    <i>
      <x v="4"/>
    </i>
    <i t="grand">
      <x/>
    </i>
  </rowItems>
  <colFields count="1">
    <field x="-2"/>
  </colFields>
  <colItems count="2">
    <i>
      <x/>
    </i>
    <i i="1">
      <x v="1"/>
    </i>
  </colItems>
  <dataFields count="2">
    <dataField name="Sum of Total Sales" fld="11" baseField="0" baseItem="0"/>
    <dataField name="Count of Customer Name" fld="2" subtotal="count" baseField="0" baseItem="0"/>
  </dataFields>
  <chartFormats count="22">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21" format="14" series="1">
      <pivotArea type="data" outline="0" fieldPosition="0">
        <references count="1">
          <reference field="4294967294" count="1" selected="0">
            <x v="0"/>
          </reference>
        </references>
      </pivotArea>
    </chartFormat>
    <chartFormat chart="21" format="15">
      <pivotArea type="data" outline="0" fieldPosition="0">
        <references count="2">
          <reference field="4294967294" count="1" selected="0">
            <x v="0"/>
          </reference>
          <reference field="3" count="1" selected="0">
            <x v="3"/>
          </reference>
        </references>
      </pivotArea>
    </chartFormat>
    <chartFormat chart="21" format="16">
      <pivotArea type="data" outline="0" fieldPosition="0">
        <references count="2">
          <reference field="4294967294" count="1" selected="0">
            <x v="0"/>
          </reference>
          <reference field="3" count="1" selected="0">
            <x v="1"/>
          </reference>
        </references>
      </pivotArea>
    </chartFormat>
    <chartFormat chart="21" format="17">
      <pivotArea type="data" outline="0" fieldPosition="0">
        <references count="2">
          <reference field="4294967294" count="1" selected="0">
            <x v="0"/>
          </reference>
          <reference field="3" count="1" selected="0">
            <x v="0"/>
          </reference>
        </references>
      </pivotArea>
    </chartFormat>
    <chartFormat chart="21" format="18">
      <pivotArea type="data" outline="0" fieldPosition="0">
        <references count="2">
          <reference field="4294967294" count="1" selected="0">
            <x v="0"/>
          </reference>
          <reference field="3" count="1" selected="0">
            <x v="2"/>
          </reference>
        </references>
      </pivotArea>
    </chartFormat>
    <chartFormat chart="21" format="19">
      <pivotArea type="data" outline="0" fieldPosition="0">
        <references count="2">
          <reference field="4294967294" count="1" selected="0">
            <x v="0"/>
          </reference>
          <reference field="3" count="1" selected="0">
            <x v="4"/>
          </reference>
        </references>
      </pivotArea>
    </chartFormat>
    <chartFormat chart="21" format="20" series="1">
      <pivotArea type="data" outline="0" fieldPosition="0">
        <references count="1">
          <reference field="4294967294" count="1" selected="0">
            <x v="1"/>
          </reference>
        </references>
      </pivotArea>
    </chartFormat>
    <chartFormat chart="21" format="21">
      <pivotArea type="data" outline="0" fieldPosition="0">
        <references count="2">
          <reference field="4294967294" count="1" selected="0">
            <x v="1"/>
          </reference>
          <reference field="3" count="1" selected="0">
            <x v="3"/>
          </reference>
        </references>
      </pivotArea>
    </chartFormat>
    <chartFormat chart="21" format="22">
      <pivotArea type="data" outline="0" fieldPosition="0">
        <references count="2">
          <reference field="4294967294" count="1" selected="0">
            <x v="1"/>
          </reference>
          <reference field="3" count="1" selected="0">
            <x v="1"/>
          </reference>
        </references>
      </pivotArea>
    </chartFormat>
    <chartFormat chart="21" format="23">
      <pivotArea type="data" outline="0" fieldPosition="0">
        <references count="2">
          <reference field="4294967294" count="1" selected="0">
            <x v="1"/>
          </reference>
          <reference field="3" count="1" selected="0">
            <x v="0"/>
          </reference>
        </references>
      </pivotArea>
    </chartFormat>
    <chartFormat chart="21" format="24">
      <pivotArea type="data" outline="0" fieldPosition="0">
        <references count="2">
          <reference field="4294967294" count="1" selected="0">
            <x v="1"/>
          </reference>
          <reference field="3" count="1" selected="0">
            <x v="2"/>
          </reference>
        </references>
      </pivotArea>
    </chartFormat>
    <chartFormat chart="21" format="25">
      <pivotArea type="data" outline="0" fieldPosition="0">
        <references count="2">
          <reference field="4294967294" count="1" selected="0">
            <x v="1"/>
          </reference>
          <reference field="3" count="1" selected="0">
            <x v="4"/>
          </reference>
        </references>
      </pivotArea>
    </chartFormat>
    <chartFormat chart="17" format="2">
      <pivotArea type="data" outline="0" fieldPosition="0">
        <references count="2">
          <reference field="4294967294" count="1" selected="0">
            <x v="0"/>
          </reference>
          <reference field="3" count="1" selected="0">
            <x v="1"/>
          </reference>
        </references>
      </pivotArea>
    </chartFormat>
    <chartFormat chart="17" format="3">
      <pivotArea type="data" outline="0" fieldPosition="0">
        <references count="2">
          <reference field="4294967294" count="1" selected="0">
            <x v="0"/>
          </reference>
          <reference field="3" count="1" selected="0">
            <x v="3"/>
          </reference>
        </references>
      </pivotArea>
    </chartFormat>
    <chartFormat chart="17" format="4">
      <pivotArea type="data" outline="0" fieldPosition="0">
        <references count="2">
          <reference field="4294967294" count="1" selected="0">
            <x v="0"/>
          </reference>
          <reference field="3" count="1" selected="0">
            <x v="0"/>
          </reference>
        </references>
      </pivotArea>
    </chartFormat>
    <chartFormat chart="17" format="5">
      <pivotArea type="data" outline="0" fieldPosition="0">
        <references count="2">
          <reference field="4294967294" count="1" selected="0">
            <x v="0"/>
          </reference>
          <reference field="3" count="1" selected="0">
            <x v="4"/>
          </reference>
        </references>
      </pivotArea>
    </chartFormat>
    <chartFormat chart="17" format="6">
      <pivotArea type="data" outline="0" fieldPosition="0">
        <references count="2">
          <reference field="4294967294" count="1" selected="0">
            <x v="1"/>
          </reference>
          <reference field="3" count="1" selected="0">
            <x v="1"/>
          </reference>
        </references>
      </pivotArea>
    </chartFormat>
    <chartFormat chart="17" format="7">
      <pivotArea type="data" outline="0" fieldPosition="0">
        <references count="2">
          <reference field="4294967294" count="1" selected="0">
            <x v="1"/>
          </reference>
          <reference field="3" count="1" selected="0">
            <x v="3"/>
          </reference>
        </references>
      </pivotArea>
    </chartFormat>
    <chartFormat chart="17" format="8">
      <pivotArea type="data" outline="0" fieldPosition="0">
        <references count="2">
          <reference field="4294967294" count="1" selected="0">
            <x v="1"/>
          </reference>
          <reference field="3" count="1" selected="0">
            <x v="0"/>
          </reference>
        </references>
      </pivotArea>
    </chartFormat>
    <chartFormat chart="17" format="9">
      <pivotArea type="data" outline="0" fieldPosition="0">
        <references count="2">
          <reference field="4294967294" count="1" selected="0">
            <x v="1"/>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1:D5" firstHeaderRow="0" firstDataRow="1" firstDataCol="1"/>
  <pivotFields count="18">
    <pivotField dataField="1" showAll="0"/>
    <pivotField numFmtId="14" showAll="0"/>
    <pivotField showAll="0"/>
    <pivotField showAll="0"/>
    <pivotField axis="axisRow" showAll="0">
      <items count="4">
        <item x="1"/>
        <item x="0"/>
        <item x="2"/>
        <item t="default"/>
      </items>
    </pivotField>
    <pivotField showAll="0">
      <items count="3">
        <item x="1"/>
        <item x="0"/>
        <item t="default"/>
      </items>
    </pivotField>
    <pivotField showAll="0">
      <items count="5">
        <item x="2"/>
        <item x="0"/>
        <item x="3"/>
        <item x="1"/>
        <item t="default"/>
      </items>
    </pivotField>
    <pivotField showAll="0"/>
    <pivotField showAll="0"/>
    <pivotField numFmtId="44" showAll="0"/>
    <pivotField numFmtId="44" showAll="0"/>
    <pivotField dataField="1" numFmtId="44" showAll="0"/>
    <pivotField showAll="0"/>
    <pivotField numFmtId="44" showAll="0"/>
    <pivotField numFmtId="9" showAll="0"/>
    <pivotField showAll="0">
      <items count="12">
        <item x="0"/>
        <item x="1"/>
        <item x="4"/>
        <item x="8"/>
        <item x="5"/>
        <item x="2"/>
        <item x="10"/>
        <item x="6"/>
        <item x="3"/>
        <item x="9"/>
        <item x="7"/>
        <item t="default"/>
      </items>
    </pivotField>
    <pivotField showAll="0"/>
    <pivotField dragToRow="0" dragToCol="0" dragToPage="0" showAll="0" defaultSubtotal="0"/>
  </pivotFields>
  <rowFields count="1">
    <field x="4"/>
  </rowFields>
  <rowItems count="4">
    <i>
      <x/>
    </i>
    <i>
      <x v="1"/>
    </i>
    <i>
      <x v="2"/>
    </i>
    <i t="grand">
      <x/>
    </i>
  </rowItems>
  <colFields count="1">
    <field x="-2"/>
  </colFields>
  <colItems count="3">
    <i>
      <x/>
    </i>
    <i i="1">
      <x v="1"/>
    </i>
    <i i="2">
      <x v="2"/>
    </i>
  </colItems>
  <dataFields count="3">
    <dataField name="Sum of Total Sales" fld="11" baseField="0" baseItem="0"/>
    <dataField name="Count of Order ID" fld="0" subtotal="count" baseField="0" baseItem="0"/>
    <dataField name="Average Order Value by Customer Type" fld="11" subtotal="average" baseField="4" baseItem="0"/>
  </dataFields>
  <chartFormats count="1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pivotArea type="data" outline="0" fieldPosition="0">
        <references count="2">
          <reference field="4294967294" count="1" selected="0">
            <x v="0"/>
          </reference>
          <reference field="4" count="1" selected="0">
            <x v="0"/>
          </reference>
        </references>
      </pivotArea>
    </chartFormat>
    <chartFormat chart="1" format="4">
      <pivotArea type="data" outline="0" fieldPosition="0">
        <references count="2">
          <reference field="4294967294" count="1" selected="0">
            <x v="0"/>
          </reference>
          <reference field="4" count="1" selected="0">
            <x v="1"/>
          </reference>
        </references>
      </pivotArea>
    </chartFormat>
    <chartFormat chart="1" format="5">
      <pivotArea type="data" outline="0" fieldPosition="0">
        <references count="2">
          <reference field="4294967294" count="1" selected="0">
            <x v="0"/>
          </reference>
          <reference field="4" count="1" selected="0">
            <x v="2"/>
          </reference>
        </references>
      </pivotArea>
    </chartFormat>
    <chartFormat chart="1" format="6">
      <pivotArea type="data" outline="0" fieldPosition="0">
        <references count="2">
          <reference field="4294967294" count="1" selected="0">
            <x v="1"/>
          </reference>
          <reference field="4" count="1" selected="0">
            <x v="0"/>
          </reference>
        </references>
      </pivotArea>
    </chartFormat>
    <chartFormat chart="1" format="7">
      <pivotArea type="data" outline="0" fieldPosition="0">
        <references count="2">
          <reference field="4294967294" count="1" selected="0">
            <x v="1"/>
          </reference>
          <reference field="4" count="1" selected="0">
            <x v="1"/>
          </reference>
        </references>
      </pivotArea>
    </chartFormat>
    <chartFormat chart="1" format="8">
      <pivotArea type="data" outline="0" fieldPosition="0">
        <references count="2">
          <reference field="4294967294" count="1" selected="0">
            <x v="1"/>
          </reference>
          <reference field="4" count="1" selected="0">
            <x v="2"/>
          </reference>
        </references>
      </pivotArea>
    </chartFormat>
    <chartFormat chart="1" format="9">
      <pivotArea type="data" outline="0" fieldPosition="0">
        <references count="2">
          <reference field="4294967294" count="1" selected="0">
            <x v="2"/>
          </reference>
          <reference field="4" count="1" selected="0">
            <x v="0"/>
          </reference>
        </references>
      </pivotArea>
    </chartFormat>
    <chartFormat chart="1" format="10">
      <pivotArea type="data" outline="0" fieldPosition="0">
        <references count="2">
          <reference field="4294967294" count="1" selected="0">
            <x v="2"/>
          </reference>
          <reference field="4" count="1" selected="0">
            <x v="1"/>
          </reference>
        </references>
      </pivotArea>
    </chartFormat>
    <chartFormat chart="1" format="11">
      <pivotArea type="data" outline="0" fieldPosition="0">
        <references count="2">
          <reference field="4294967294" count="1" selected="0">
            <x v="2"/>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ales_Channel" sourceName="Sales Channel">
  <pivotTables>
    <pivotTable tabId="3" name="PivotTable5"/>
    <pivotTable tabId="2" name="PivotTable4"/>
    <pivotTable tabId="4" name="PivotTable3"/>
    <pivotTable tabId="5" name="PivotTable6"/>
    <pivotTable tabId="6" name="PivotTable7"/>
  </pivotTables>
  <data>
    <tabular pivotCacheId="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5"/>
    <pivotTable tabId="2" name="PivotTable4"/>
    <pivotTable tabId="4" name="PivotTable3"/>
    <pivotTable tabId="5" name="PivotTable6"/>
    <pivotTable tabId="6" name="PivotTable7"/>
  </pivotTables>
  <data>
    <tabular pivotCacheId="1">
      <items count="4">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3" name="PivotTable5"/>
    <pivotTable tabId="2" name="PivotTable4"/>
    <pivotTable tabId="4" name="PivotTable3"/>
    <pivotTable tabId="5" name="PivotTable6"/>
    <pivotTable tabId="6" name="PivotTable7"/>
  </pivotTables>
  <data>
    <tabular pivotCacheId="1">
      <items count="11">
        <i x="0" s="1"/>
        <i x="1" s="1"/>
        <i x="4" s="1"/>
        <i x="8" s="1"/>
        <i x="5" s="1"/>
        <i x="2" s="1"/>
        <i x="10" s="1"/>
        <i x="6" s="1"/>
        <i x="3" s="1"/>
        <i x="9"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ales Channel" cache="Slicer_Sales_Channel" caption="Sales Channel" style="SlicerStyleDark6" rowHeight="234950"/>
  <slicer name="Category" cache="Slicer_Category" caption="Category" style="SlicerStyleDark6" rowHeight="234950"/>
  <slicer name="Month" cache="Slicer_Month" caption="Month" style="SlicerStyleDark6"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Sales Channel 1" cache="Slicer_Sales_Channel" caption="Sales Channel" style="SlicerStyleDark6" rowHeight="234950"/>
  <slicer name="Category 1" cache="Slicer_Category" caption="Category" style="SlicerStyleDark6" rowHeight="234950"/>
  <slicer name="Month 1" cache="Slicer_Month" caption="Month" style="SlicerStyleDark6" rowHeight="234950"/>
</slicers>
</file>

<file path=xl/tables/table1.xml><?xml version="1.0" encoding="utf-8"?>
<table xmlns="http://schemas.openxmlformats.org/spreadsheetml/2006/main" id="1" name="Table1" displayName="Table1" ref="A1:Q185" totalsRowShown="0">
  <autoFilter ref="A1:Q185"/>
  <tableColumns count="17">
    <tableColumn id="1" name="Order ID"/>
    <tableColumn id="2" name="Order Date" dataDxfId="15"/>
    <tableColumn id="3" name="Customer Name" dataDxfId="14"/>
    <tableColumn id="4" name="Region" dataDxfId="13"/>
    <tableColumn id="5" name="Customer Type" dataDxfId="12"/>
    <tableColumn id="6" name="Sales Channel" dataDxfId="11"/>
    <tableColumn id="7" name="Category" dataDxfId="10"/>
    <tableColumn id="8" name="Product Name" dataDxfId="9"/>
    <tableColumn id="9" name="Quantity"/>
    <tableColumn id="10" name="Unit Price" dataDxfId="8"/>
    <tableColumn id="11" name="Unit Cost" dataDxfId="7"/>
    <tableColumn id="12" name="Total Sales" dataDxfId="6"/>
    <tableColumn id="13" name="Order Status"/>
    <tableColumn id="15" name="Profit" dataDxfId="5">
      <calculatedColumnFormula>Table1[[#This Row],[Total Sales]]-(Table1[[#This Row],[Quantity]]*Table1[[#This Row],[Unit Cost]])</calculatedColumnFormula>
    </tableColumn>
    <tableColumn id="16" name="Profit Margin" dataCellStyle="Percent">
      <calculatedColumnFormula>IF(Table1[[#This Row],[Total Sales]]=0,0,Table1[[#This Row],[Profit]]/Table1[[#This Row],[Total Sales]])</calculatedColumnFormula>
    </tableColumn>
    <tableColumn id="17" name="Month" dataDxfId="4">
      <calculatedColumnFormula>TEXT(Table1[[#This Row],[Order Date]],"mmmm")</calculatedColumnFormula>
    </tableColumn>
    <tableColumn id="18" name="Quarter" dataDxfId="3">
      <calculatedColumnFormula>"الربع "&amp;ROUNDUP(MONTH(B2)/3,0)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U3:W11" totalsRowShown="0" headerRowDxfId="2">
  <autoFilter ref="U3:W11"/>
  <tableColumns count="3">
    <tableColumn id="1" name="المؤشر" dataDxfId="1" dataCellStyle="Accent1"/>
    <tableColumn id="2" name="القيمة" dataDxfId="0">
      <calculatedColumnFormula>SUM(Table1[Total Sales])</calculatedColumnFormula>
    </tableColumn>
    <tableColumn id="3" name="السؤال التجاري الذي يجيبه"/>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2.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85"/>
  <sheetViews>
    <sheetView workbookViewId="0"/>
  </sheetViews>
  <sheetFormatPr defaultRowHeight="14.4" x14ac:dyDescent="0.3"/>
  <cols>
    <col min="1" max="1" width="9.88671875" customWidth="1"/>
    <col min="2" max="2" width="16.44140625" style="1" customWidth="1"/>
    <col min="3" max="3" width="16.44140625" style="2" customWidth="1"/>
    <col min="4" max="4" width="8.88671875" style="2"/>
    <col min="5" max="5" width="16.21875" style="2" customWidth="1"/>
    <col min="6" max="6" width="18" style="2" customWidth="1"/>
    <col min="7" max="7" width="20" style="2" customWidth="1"/>
    <col min="8" max="8" width="16.5546875" style="2" customWidth="1"/>
    <col min="9" max="9" width="10.21875" customWidth="1"/>
    <col min="10" max="10" width="11" style="3" customWidth="1"/>
    <col min="11" max="11" width="10.5546875" style="3" customWidth="1"/>
    <col min="12" max="12" width="11.77734375" style="3" customWidth="1"/>
    <col min="13" max="13" width="13.33203125" customWidth="1"/>
    <col min="14" max="14" width="16.33203125" customWidth="1"/>
    <col min="15" max="15" width="13.44140625" style="5" customWidth="1"/>
    <col min="16" max="16" width="13" customWidth="1"/>
    <col min="19" max="19" width="8" customWidth="1"/>
    <col min="20" max="20" width="8.88671875" hidden="1" customWidth="1"/>
    <col min="21" max="21" width="36.77734375" customWidth="1"/>
    <col min="22" max="22" width="20.5546875" customWidth="1"/>
    <col min="23" max="23" width="28.77734375" customWidth="1"/>
  </cols>
  <sheetData>
    <row r="1" spans="1:23" x14ac:dyDescent="0.3">
      <c r="A1" t="s">
        <v>0</v>
      </c>
      <c r="B1" s="1" t="s">
        <v>1</v>
      </c>
      <c r="C1" s="2" t="s">
        <v>2</v>
      </c>
      <c r="D1" s="2" t="s">
        <v>3</v>
      </c>
      <c r="E1" s="2" t="s">
        <v>4</v>
      </c>
      <c r="F1" s="2" t="s">
        <v>5</v>
      </c>
      <c r="G1" s="2" t="s">
        <v>6</v>
      </c>
      <c r="H1" s="2" t="s">
        <v>7</v>
      </c>
      <c r="I1" t="s">
        <v>8</v>
      </c>
      <c r="J1" s="3" t="s">
        <v>9</v>
      </c>
      <c r="K1" s="3" t="s">
        <v>10</v>
      </c>
      <c r="L1" s="3" t="s">
        <v>11</v>
      </c>
      <c r="M1" t="s">
        <v>12</v>
      </c>
      <c r="N1" s="4" t="s">
        <v>378</v>
      </c>
      <c r="O1" s="5" t="s">
        <v>379</v>
      </c>
      <c r="P1" s="4" t="s">
        <v>380</v>
      </c>
      <c r="Q1" s="4" t="s">
        <v>381</v>
      </c>
    </row>
    <row r="2" spans="1:23" x14ac:dyDescent="0.3">
      <c r="A2" t="s">
        <v>13</v>
      </c>
      <c r="B2" s="1">
        <v>45672</v>
      </c>
      <c r="C2" s="2" t="s">
        <v>14</v>
      </c>
      <c r="D2" s="2" t="s">
        <v>15</v>
      </c>
      <c r="E2" s="2" t="s">
        <v>16</v>
      </c>
      <c r="F2" s="2" t="s">
        <v>17</v>
      </c>
      <c r="G2" s="2" t="s">
        <v>18</v>
      </c>
      <c r="H2" s="2" t="s">
        <v>19</v>
      </c>
      <c r="I2">
        <v>1</v>
      </c>
      <c r="J2" s="3">
        <v>3499</v>
      </c>
      <c r="K2" s="3">
        <v>2800</v>
      </c>
      <c r="L2" s="3">
        <v>3499</v>
      </c>
      <c r="M2" t="s">
        <v>20</v>
      </c>
      <c r="N2" s="3">
        <f>Table1[[#This Row],[Total Sales]]-(Table1[[#This Row],[Quantity]]*Table1[[#This Row],[Unit Cost]])</f>
        <v>699</v>
      </c>
      <c r="O2" s="5">
        <f>IF(Table1[[#This Row],[Total Sales]]=0,0,Table1[[#This Row],[Profit]]/Table1[[#This Row],[Total Sales]])</f>
        <v>0.19977136324664191</v>
      </c>
      <c r="P2" s="3" t="str">
        <f>TEXT(Table1[[#This Row],[Order Date]],"mmmm")</f>
        <v>January</v>
      </c>
      <c r="Q2" t="str">
        <f t="shared" ref="Q2:Q33" si="0">"الربع "&amp;ROUNDUP(MONTH(B2)/3,0)</f>
        <v>الربع 1</v>
      </c>
    </row>
    <row r="3" spans="1:23" ht="18" x14ac:dyDescent="0.35">
      <c r="A3" t="s">
        <v>21</v>
      </c>
      <c r="B3" s="1">
        <v>45673</v>
      </c>
      <c r="C3" s="2" t="s">
        <v>22</v>
      </c>
      <c r="D3" s="2" t="s">
        <v>23</v>
      </c>
      <c r="E3" s="2" t="s">
        <v>24</v>
      </c>
      <c r="F3" s="2" t="s">
        <v>25</v>
      </c>
      <c r="G3" s="2" t="s">
        <v>26</v>
      </c>
      <c r="H3" s="2" t="s">
        <v>27</v>
      </c>
      <c r="I3">
        <v>2</v>
      </c>
      <c r="J3" s="3">
        <v>250</v>
      </c>
      <c r="K3" s="3">
        <v>120</v>
      </c>
      <c r="L3" s="3">
        <v>500</v>
      </c>
      <c r="M3" t="s">
        <v>20</v>
      </c>
      <c r="N3" s="3">
        <f>Table1[[#This Row],[Total Sales]]-(Table1[[#This Row],[Quantity]]*Table1[[#This Row],[Unit Cost]])</f>
        <v>260</v>
      </c>
      <c r="O3" s="5">
        <f>IF(Table1[[#This Row],[Total Sales]]=0,0,Table1[[#This Row],[Profit]]/Table1[[#This Row],[Total Sales]])</f>
        <v>0.52</v>
      </c>
      <c r="P3" s="3" t="str">
        <f>TEXT(Table1[[#This Row],[Order Date]],"mmmm")</f>
        <v>January</v>
      </c>
      <c r="Q3" s="6" t="str">
        <f t="shared" si="0"/>
        <v>الربع 1</v>
      </c>
      <c r="U3" s="7" t="s">
        <v>382</v>
      </c>
      <c r="V3" s="7" t="s">
        <v>383</v>
      </c>
      <c r="W3" s="7" t="s">
        <v>392</v>
      </c>
    </row>
    <row r="4" spans="1:23" x14ac:dyDescent="0.3">
      <c r="A4" t="s">
        <v>28</v>
      </c>
      <c r="B4" s="1">
        <v>45674</v>
      </c>
      <c r="C4" s="2" t="s">
        <v>29</v>
      </c>
      <c r="D4" s="2" t="s">
        <v>30</v>
      </c>
      <c r="E4" s="2" t="s">
        <v>16</v>
      </c>
      <c r="F4" s="2" t="s">
        <v>17</v>
      </c>
      <c r="G4" s="2" t="s">
        <v>31</v>
      </c>
      <c r="H4" s="2" t="s">
        <v>32</v>
      </c>
      <c r="I4">
        <v>1</v>
      </c>
      <c r="J4" s="3">
        <v>450</v>
      </c>
      <c r="K4" s="3">
        <v>280</v>
      </c>
      <c r="L4" s="3">
        <v>450</v>
      </c>
      <c r="M4" t="s">
        <v>20</v>
      </c>
      <c r="N4" s="3">
        <f>Table1[[#This Row],[Total Sales]]-(Table1[[#This Row],[Quantity]]*Table1[[#This Row],[Unit Cost]])</f>
        <v>170</v>
      </c>
      <c r="O4" s="5">
        <f>IF(Table1[[#This Row],[Total Sales]]=0,0,Table1[[#This Row],[Profit]]/Table1[[#This Row],[Total Sales]])</f>
        <v>0.37777777777777777</v>
      </c>
      <c r="P4" s="3" t="str">
        <f>TEXT(Table1[[#This Row],[Order Date]],"mmmm")</f>
        <v>January</v>
      </c>
      <c r="Q4" s="6" t="str">
        <f t="shared" si="0"/>
        <v>الربع 1</v>
      </c>
      <c r="U4" s="8" t="s">
        <v>384</v>
      </c>
      <c r="V4" s="3">
        <f>SUM(Table1[Total Sales])</f>
        <v>216401</v>
      </c>
      <c r="W4" t="s">
        <v>393</v>
      </c>
    </row>
    <row r="5" spans="1:23" x14ac:dyDescent="0.3">
      <c r="A5" t="s">
        <v>33</v>
      </c>
      <c r="B5" s="1">
        <v>45675</v>
      </c>
      <c r="C5" s="2" t="s">
        <v>34</v>
      </c>
      <c r="D5" s="2" t="s">
        <v>15</v>
      </c>
      <c r="E5" s="2" t="s">
        <v>24</v>
      </c>
      <c r="F5" s="2" t="s">
        <v>25</v>
      </c>
      <c r="G5" s="2" t="s">
        <v>18</v>
      </c>
      <c r="H5" s="2" t="s">
        <v>35</v>
      </c>
      <c r="I5">
        <v>3</v>
      </c>
      <c r="J5" s="3">
        <v>350</v>
      </c>
      <c r="K5" s="3">
        <v>180</v>
      </c>
      <c r="L5" s="3">
        <v>1050</v>
      </c>
      <c r="M5" t="s">
        <v>20</v>
      </c>
      <c r="N5" s="3">
        <f>Table1[[#This Row],[Total Sales]]-(Table1[[#This Row],[Quantity]]*Table1[[#This Row],[Unit Cost]])</f>
        <v>510</v>
      </c>
      <c r="O5" s="5">
        <f>IF(Table1[[#This Row],[Total Sales]]=0,0,Table1[[#This Row],[Profit]]/Table1[[#This Row],[Total Sales]])</f>
        <v>0.48571428571428571</v>
      </c>
      <c r="P5" s="3" t="str">
        <f>TEXT(Table1[[#This Row],[Order Date]],"mmmm")</f>
        <v>January</v>
      </c>
      <c r="Q5" s="6" t="str">
        <f t="shared" si="0"/>
        <v>الربع 1</v>
      </c>
      <c r="U5" s="8" t="s">
        <v>385</v>
      </c>
      <c r="V5" s="3">
        <f>SUM(Table1[Profit])</f>
        <v>75272</v>
      </c>
      <c r="W5" t="s">
        <v>394</v>
      </c>
    </row>
    <row r="6" spans="1:23" x14ac:dyDescent="0.3">
      <c r="A6" t="s">
        <v>36</v>
      </c>
      <c r="B6" s="1">
        <v>45677</v>
      </c>
      <c r="C6" s="2" t="s">
        <v>37</v>
      </c>
      <c r="D6" s="2" t="s">
        <v>38</v>
      </c>
      <c r="E6" s="2" t="s">
        <v>16</v>
      </c>
      <c r="F6" s="2" t="s">
        <v>17</v>
      </c>
      <c r="G6" s="2" t="s">
        <v>39</v>
      </c>
      <c r="H6" s="2" t="s">
        <v>40</v>
      </c>
      <c r="I6">
        <v>1</v>
      </c>
      <c r="J6" s="3">
        <v>890</v>
      </c>
      <c r="K6" s="3">
        <v>520</v>
      </c>
      <c r="L6" s="3">
        <v>890</v>
      </c>
      <c r="M6" t="s">
        <v>20</v>
      </c>
      <c r="N6" s="3">
        <f>Table1[[#This Row],[Total Sales]]-(Table1[[#This Row],[Quantity]]*Table1[[#This Row],[Unit Cost]])</f>
        <v>370</v>
      </c>
      <c r="O6" s="5">
        <f>IF(Table1[[#This Row],[Total Sales]]=0,0,Table1[[#This Row],[Profit]]/Table1[[#This Row],[Total Sales]])</f>
        <v>0.4157303370786517</v>
      </c>
      <c r="P6" s="3" t="str">
        <f>TEXT(Table1[[#This Row],[Order Date]],"mmmm")</f>
        <v>January</v>
      </c>
      <c r="Q6" s="6" t="str">
        <f t="shared" si="0"/>
        <v>الربع 1</v>
      </c>
      <c r="U6" s="8" t="s">
        <v>386</v>
      </c>
      <c r="V6" s="3">
        <f>COUNTA(Table1[Order ID])</f>
        <v>184</v>
      </c>
      <c r="W6" t="s">
        <v>395</v>
      </c>
    </row>
    <row r="7" spans="1:23" x14ac:dyDescent="0.3">
      <c r="A7" t="s">
        <v>41</v>
      </c>
      <c r="B7" s="1">
        <v>45678</v>
      </c>
      <c r="C7" s="2" t="s">
        <v>42</v>
      </c>
      <c r="D7" s="2" t="s">
        <v>15</v>
      </c>
      <c r="E7" s="2" t="s">
        <v>16</v>
      </c>
      <c r="F7" s="2" t="s">
        <v>25</v>
      </c>
      <c r="G7" s="2" t="s">
        <v>26</v>
      </c>
      <c r="H7" s="2" t="s">
        <v>43</v>
      </c>
      <c r="I7">
        <v>1</v>
      </c>
      <c r="J7" s="3">
        <v>780</v>
      </c>
      <c r="K7" s="3">
        <v>400</v>
      </c>
      <c r="L7" s="3">
        <v>780</v>
      </c>
      <c r="M7" t="s">
        <v>20</v>
      </c>
      <c r="N7" s="3">
        <f>Table1[[#This Row],[Total Sales]]-(Table1[[#This Row],[Quantity]]*Table1[[#This Row],[Unit Cost]])</f>
        <v>380</v>
      </c>
      <c r="O7" s="5">
        <f>IF(Table1[[#This Row],[Total Sales]]=0,0,Table1[[#This Row],[Profit]]/Table1[[#This Row],[Total Sales]])</f>
        <v>0.48717948717948717</v>
      </c>
      <c r="P7" s="3" t="str">
        <f>TEXT(Table1[[#This Row],[Order Date]],"mmmm")</f>
        <v>January</v>
      </c>
      <c r="Q7" s="6" t="str">
        <f t="shared" si="0"/>
        <v>الربع 1</v>
      </c>
      <c r="U7" s="8" t="s">
        <v>387</v>
      </c>
      <c r="V7" s="3">
        <f>SUMPRODUCT(1/COUNTIF(C2:C185,C2:C185))</f>
        <v>9.9999999999999734</v>
      </c>
      <c r="W7" t="s">
        <v>396</v>
      </c>
    </row>
    <row r="8" spans="1:23" x14ac:dyDescent="0.3">
      <c r="A8" t="s">
        <v>44</v>
      </c>
      <c r="B8" s="1">
        <v>45679</v>
      </c>
      <c r="C8" s="2" t="s">
        <v>45</v>
      </c>
      <c r="D8" s="2" t="s">
        <v>23</v>
      </c>
      <c r="E8" s="2" t="s">
        <v>377</v>
      </c>
      <c r="F8" s="2" t="s">
        <v>17</v>
      </c>
      <c r="G8" s="2" t="s">
        <v>18</v>
      </c>
      <c r="H8" s="2" t="s">
        <v>46</v>
      </c>
      <c r="I8">
        <v>1</v>
      </c>
      <c r="J8" s="3">
        <v>4200</v>
      </c>
      <c r="K8" s="3">
        <v>3100</v>
      </c>
      <c r="L8" s="3">
        <v>4200</v>
      </c>
      <c r="M8" t="s">
        <v>20</v>
      </c>
      <c r="N8" s="3">
        <f>Table1[[#This Row],[Total Sales]]-(Table1[[#This Row],[Quantity]]*Table1[[#This Row],[Unit Cost]])</f>
        <v>1100</v>
      </c>
      <c r="O8" s="5">
        <f>IF(Table1[[#This Row],[Total Sales]]=0,0,Table1[[#This Row],[Profit]]/Table1[[#This Row],[Total Sales]])</f>
        <v>0.26190476190476192</v>
      </c>
      <c r="P8" s="3" t="str">
        <f>TEXT(Table1[[#This Row],[Order Date]],"mmmm")</f>
        <v>January</v>
      </c>
      <c r="Q8" s="6" t="str">
        <f t="shared" si="0"/>
        <v>الربع 1</v>
      </c>
      <c r="U8" s="8" t="s">
        <v>388</v>
      </c>
      <c r="V8" s="3">
        <f>AVERAGE(L:L)</f>
        <v>1176.0923913043478</v>
      </c>
      <c r="W8" t="s">
        <v>397</v>
      </c>
    </row>
    <row r="9" spans="1:23" x14ac:dyDescent="0.3">
      <c r="A9" t="s">
        <v>47</v>
      </c>
      <c r="B9" s="1">
        <v>45680</v>
      </c>
      <c r="C9" s="2" t="s">
        <v>48</v>
      </c>
      <c r="D9" s="2" t="s">
        <v>30</v>
      </c>
      <c r="E9" s="2" t="s">
        <v>24</v>
      </c>
      <c r="F9" s="2" t="s">
        <v>25</v>
      </c>
      <c r="G9" s="2" t="s">
        <v>31</v>
      </c>
      <c r="H9" s="2" t="s">
        <v>49</v>
      </c>
      <c r="I9">
        <v>2</v>
      </c>
      <c r="J9" s="3">
        <v>320</v>
      </c>
      <c r="K9" s="3">
        <v>190</v>
      </c>
      <c r="L9" s="3">
        <v>640</v>
      </c>
      <c r="M9" t="s">
        <v>20</v>
      </c>
      <c r="N9" s="3">
        <f>Table1[[#This Row],[Total Sales]]-(Table1[[#This Row],[Quantity]]*Table1[[#This Row],[Unit Cost]])</f>
        <v>260</v>
      </c>
      <c r="O9" s="5">
        <f>IF(Table1[[#This Row],[Total Sales]]=0,0,Table1[[#This Row],[Profit]]/Table1[[#This Row],[Total Sales]])</f>
        <v>0.40625</v>
      </c>
      <c r="P9" s="3" t="str">
        <f>TEXT(Table1[[#This Row],[Order Date]],"mmmm")</f>
        <v>January</v>
      </c>
      <c r="Q9" s="6" t="str">
        <f t="shared" si="0"/>
        <v>الربع 1</v>
      </c>
      <c r="U9" s="8" t="s">
        <v>389</v>
      </c>
      <c r="V9" s="3">
        <f>AVERAGE(N:N)</f>
        <v>409.08695652173913</v>
      </c>
      <c r="W9" t="s">
        <v>398</v>
      </c>
    </row>
    <row r="10" spans="1:23" x14ac:dyDescent="0.3">
      <c r="A10" t="s">
        <v>50</v>
      </c>
      <c r="B10" s="1">
        <v>45681</v>
      </c>
      <c r="C10" s="2" t="s">
        <v>51</v>
      </c>
      <c r="D10" s="2" t="s">
        <v>15</v>
      </c>
      <c r="E10" s="2" t="s">
        <v>16</v>
      </c>
      <c r="F10" s="2" t="s">
        <v>17</v>
      </c>
      <c r="G10" s="2" t="s">
        <v>26</v>
      </c>
      <c r="H10" s="2" t="s">
        <v>52</v>
      </c>
      <c r="I10">
        <v>1</v>
      </c>
      <c r="J10" s="3">
        <v>950</v>
      </c>
      <c r="K10" s="3">
        <v>550</v>
      </c>
      <c r="L10" s="3">
        <v>950</v>
      </c>
      <c r="M10" t="s">
        <v>20</v>
      </c>
      <c r="N10" s="3">
        <f>Table1[[#This Row],[Total Sales]]-(Table1[[#This Row],[Quantity]]*Table1[[#This Row],[Unit Cost]])</f>
        <v>400</v>
      </c>
      <c r="O10" s="5">
        <f>IF(Table1[[#This Row],[Total Sales]]=0,0,Table1[[#This Row],[Profit]]/Table1[[#This Row],[Total Sales]])</f>
        <v>0.42105263157894735</v>
      </c>
      <c r="P10" s="3" t="str">
        <f>TEXT(Table1[[#This Row],[Order Date]],"mmmm")</f>
        <v>January</v>
      </c>
      <c r="Q10" s="6" t="str">
        <f t="shared" si="0"/>
        <v>الربع 1</v>
      </c>
      <c r="U10" s="8" t="s">
        <v>390</v>
      </c>
      <c r="V10" s="3">
        <f>MAX(L:L)</f>
        <v>5200</v>
      </c>
      <c r="W10" t="s">
        <v>399</v>
      </c>
    </row>
    <row r="11" spans="1:23" x14ac:dyDescent="0.3">
      <c r="A11" t="s">
        <v>53</v>
      </c>
      <c r="B11" s="1">
        <v>45682</v>
      </c>
      <c r="C11" s="2" t="s">
        <v>54</v>
      </c>
      <c r="D11" s="2" t="s">
        <v>23</v>
      </c>
      <c r="E11" s="2" t="s">
        <v>24</v>
      </c>
      <c r="F11" s="2" t="s">
        <v>25</v>
      </c>
      <c r="G11" s="2" t="s">
        <v>39</v>
      </c>
      <c r="H11" s="2" t="s">
        <v>55</v>
      </c>
      <c r="I11">
        <v>1</v>
      </c>
      <c r="J11" s="3">
        <v>1500</v>
      </c>
      <c r="K11" s="3">
        <v>980</v>
      </c>
      <c r="L11" s="3">
        <v>1500</v>
      </c>
      <c r="M11" t="s">
        <v>20</v>
      </c>
      <c r="N11" s="3">
        <f>Table1[[#This Row],[Total Sales]]-(Table1[[#This Row],[Quantity]]*Table1[[#This Row],[Unit Cost]])</f>
        <v>520</v>
      </c>
      <c r="O11" s="5">
        <f>IF(Table1[[#This Row],[Total Sales]]=0,0,Table1[[#This Row],[Profit]]/Table1[[#This Row],[Total Sales]])</f>
        <v>0.34666666666666668</v>
      </c>
      <c r="P11" s="3" t="str">
        <f>TEXT(Table1[[#This Row],[Order Date]],"mmmm")</f>
        <v>January</v>
      </c>
      <c r="Q11" s="6" t="str">
        <f t="shared" si="0"/>
        <v>الربع 1</v>
      </c>
      <c r="U11" s="8" t="s">
        <v>391</v>
      </c>
      <c r="V11" s="5">
        <f>COUNTIF(M2:M185,"مكتمل")/COUNTA(A2:A185)</f>
        <v>1</v>
      </c>
      <c r="W11" t="s">
        <v>400</v>
      </c>
    </row>
    <row r="12" spans="1:23" x14ac:dyDescent="0.3">
      <c r="A12" t="s">
        <v>56</v>
      </c>
      <c r="B12" s="1">
        <v>45683</v>
      </c>
      <c r="C12" s="2" t="s">
        <v>14</v>
      </c>
      <c r="D12" s="2" t="s">
        <v>15</v>
      </c>
      <c r="E12" s="2" t="s">
        <v>16</v>
      </c>
      <c r="F12" s="2" t="s">
        <v>17</v>
      </c>
      <c r="G12" s="2" t="s">
        <v>18</v>
      </c>
      <c r="H12" s="2" t="s">
        <v>57</v>
      </c>
      <c r="I12">
        <v>2</v>
      </c>
      <c r="J12" s="3">
        <v>120</v>
      </c>
      <c r="K12" s="3">
        <v>65</v>
      </c>
      <c r="L12" s="3">
        <v>240</v>
      </c>
      <c r="M12" t="s">
        <v>20</v>
      </c>
      <c r="N12" s="3">
        <f>Table1[[#This Row],[Total Sales]]-(Table1[[#This Row],[Quantity]]*Table1[[#This Row],[Unit Cost]])</f>
        <v>110</v>
      </c>
      <c r="O12" s="5">
        <f>IF(Table1[[#This Row],[Total Sales]]=0,0,Table1[[#This Row],[Profit]]/Table1[[#This Row],[Total Sales]])</f>
        <v>0.45833333333333331</v>
      </c>
      <c r="P12" s="3" t="str">
        <f>TEXT(Table1[[#This Row],[Order Date]],"mmmm")</f>
        <v>January</v>
      </c>
      <c r="Q12" s="6" t="str">
        <f t="shared" si="0"/>
        <v>الربع 1</v>
      </c>
    </row>
    <row r="13" spans="1:23" x14ac:dyDescent="0.3">
      <c r="A13" t="s">
        <v>58</v>
      </c>
      <c r="B13" s="1">
        <v>45684</v>
      </c>
      <c r="C13" s="2" t="s">
        <v>22</v>
      </c>
      <c r="D13" s="2" t="s">
        <v>23</v>
      </c>
      <c r="E13" s="2" t="s">
        <v>24</v>
      </c>
      <c r="F13" s="2" t="s">
        <v>25</v>
      </c>
      <c r="G13" s="2" t="s">
        <v>31</v>
      </c>
      <c r="H13" s="2" t="s">
        <v>59</v>
      </c>
      <c r="I13">
        <v>1</v>
      </c>
      <c r="J13" s="3">
        <v>1250</v>
      </c>
      <c r="K13" s="3">
        <v>790</v>
      </c>
      <c r="L13" s="3">
        <v>1250</v>
      </c>
      <c r="M13" t="s">
        <v>20</v>
      </c>
      <c r="N13" s="3">
        <f>Table1[[#This Row],[Total Sales]]-(Table1[[#This Row],[Quantity]]*Table1[[#This Row],[Unit Cost]])</f>
        <v>460</v>
      </c>
      <c r="O13" s="5">
        <f>IF(Table1[[#This Row],[Total Sales]]=0,0,Table1[[#This Row],[Profit]]/Table1[[#This Row],[Total Sales]])</f>
        <v>0.36799999999999999</v>
      </c>
      <c r="P13" s="3" t="str">
        <f>TEXT(Table1[[#This Row],[Order Date]],"mmmm")</f>
        <v>January</v>
      </c>
      <c r="Q13" s="6" t="str">
        <f t="shared" si="0"/>
        <v>الربع 1</v>
      </c>
    </row>
    <row r="14" spans="1:23" x14ac:dyDescent="0.3">
      <c r="A14" t="s">
        <v>60</v>
      </c>
      <c r="B14" s="1">
        <v>45685</v>
      </c>
      <c r="C14" s="2" t="s">
        <v>29</v>
      </c>
      <c r="D14" s="2" t="s">
        <v>30</v>
      </c>
      <c r="E14" s="2" t="s">
        <v>16</v>
      </c>
      <c r="F14" s="2" t="s">
        <v>17</v>
      </c>
      <c r="G14" s="2" t="s">
        <v>26</v>
      </c>
      <c r="H14" s="2" t="s">
        <v>61</v>
      </c>
      <c r="I14">
        <v>3</v>
      </c>
      <c r="J14" s="3">
        <v>85</v>
      </c>
      <c r="K14" s="3">
        <v>40</v>
      </c>
      <c r="L14" s="3">
        <v>255</v>
      </c>
      <c r="M14" t="s">
        <v>20</v>
      </c>
      <c r="N14" s="3">
        <f>Table1[[#This Row],[Total Sales]]-(Table1[[#This Row],[Quantity]]*Table1[[#This Row],[Unit Cost]])</f>
        <v>135</v>
      </c>
      <c r="O14" s="5">
        <f>IF(Table1[[#This Row],[Total Sales]]=0,0,Table1[[#This Row],[Profit]]/Table1[[#This Row],[Total Sales]])</f>
        <v>0.52941176470588236</v>
      </c>
      <c r="P14" s="3" t="str">
        <f>TEXT(Table1[[#This Row],[Order Date]],"mmmm")</f>
        <v>January</v>
      </c>
      <c r="Q14" s="6" t="str">
        <f t="shared" si="0"/>
        <v>الربع 1</v>
      </c>
    </row>
    <row r="15" spans="1:23" x14ac:dyDescent="0.3">
      <c r="A15" t="s">
        <v>62</v>
      </c>
      <c r="B15" s="1">
        <v>45686</v>
      </c>
      <c r="C15" s="2" t="s">
        <v>34</v>
      </c>
      <c r="D15" s="2" t="s">
        <v>15</v>
      </c>
      <c r="E15" s="2" t="s">
        <v>24</v>
      </c>
      <c r="F15" s="2" t="s">
        <v>25</v>
      </c>
      <c r="G15" s="2" t="s">
        <v>39</v>
      </c>
      <c r="H15" s="2" t="s">
        <v>63</v>
      </c>
      <c r="I15">
        <v>4</v>
      </c>
      <c r="J15" s="3">
        <v>210</v>
      </c>
      <c r="K15" s="3">
        <v>120</v>
      </c>
      <c r="L15" s="3">
        <v>840</v>
      </c>
      <c r="M15" t="s">
        <v>20</v>
      </c>
      <c r="N15" s="3">
        <f>Table1[[#This Row],[Total Sales]]-(Table1[[#This Row],[Quantity]]*Table1[[#This Row],[Unit Cost]])</f>
        <v>360</v>
      </c>
      <c r="O15" s="5">
        <f>IF(Table1[[#This Row],[Total Sales]]=0,0,Table1[[#This Row],[Profit]]/Table1[[#This Row],[Total Sales]])</f>
        <v>0.42857142857142855</v>
      </c>
      <c r="P15" s="3" t="str">
        <f>TEXT(Table1[[#This Row],[Order Date]],"mmmm")</f>
        <v>January</v>
      </c>
      <c r="Q15" s="6" t="str">
        <f t="shared" si="0"/>
        <v>الربع 1</v>
      </c>
      <c r="U15" s="3">
        <f>AVERAGE(L:L)</f>
        <v>1176.0923913043478</v>
      </c>
    </row>
    <row r="16" spans="1:23" x14ac:dyDescent="0.3">
      <c r="A16" t="s">
        <v>64</v>
      </c>
      <c r="B16" s="1">
        <v>45687</v>
      </c>
      <c r="C16" s="2" t="s">
        <v>37</v>
      </c>
      <c r="D16" s="2" t="s">
        <v>38</v>
      </c>
      <c r="E16" s="2" t="s">
        <v>16</v>
      </c>
      <c r="F16" s="2" t="s">
        <v>17</v>
      </c>
      <c r="G16" s="2" t="s">
        <v>18</v>
      </c>
      <c r="H16" s="2" t="s">
        <v>65</v>
      </c>
      <c r="I16">
        <v>1</v>
      </c>
      <c r="J16" s="3">
        <v>1200</v>
      </c>
      <c r="K16" s="3">
        <v>850</v>
      </c>
      <c r="L16" s="3">
        <v>1200</v>
      </c>
      <c r="M16" t="s">
        <v>20</v>
      </c>
      <c r="N16" s="3">
        <f>Table1[[#This Row],[Total Sales]]-(Table1[[#This Row],[Quantity]]*Table1[[#This Row],[Unit Cost]])</f>
        <v>350</v>
      </c>
      <c r="O16" s="5">
        <f>IF(Table1[[#This Row],[Total Sales]]=0,0,Table1[[#This Row],[Profit]]/Table1[[#This Row],[Total Sales]])</f>
        <v>0.29166666666666669</v>
      </c>
      <c r="P16" s="3" t="str">
        <f>TEXT(Table1[[#This Row],[Order Date]],"mmmm")</f>
        <v>January</v>
      </c>
      <c r="Q16" s="6" t="str">
        <f t="shared" si="0"/>
        <v>الربع 1</v>
      </c>
    </row>
    <row r="17" spans="1:17" x14ac:dyDescent="0.3">
      <c r="A17" t="s">
        <v>66</v>
      </c>
      <c r="B17" s="1">
        <v>45688</v>
      </c>
      <c r="C17" s="2" t="s">
        <v>42</v>
      </c>
      <c r="D17" s="2" t="s">
        <v>15</v>
      </c>
      <c r="E17" s="2" t="s">
        <v>16</v>
      </c>
      <c r="F17" s="2" t="s">
        <v>25</v>
      </c>
      <c r="G17" s="2" t="s">
        <v>31</v>
      </c>
      <c r="H17" s="2" t="s">
        <v>67</v>
      </c>
      <c r="I17">
        <v>1</v>
      </c>
      <c r="J17" s="3">
        <v>2100</v>
      </c>
      <c r="K17" s="3">
        <v>1500</v>
      </c>
      <c r="L17" s="3">
        <v>2100</v>
      </c>
      <c r="M17" t="s">
        <v>20</v>
      </c>
      <c r="N17" s="3">
        <f>Table1[[#This Row],[Total Sales]]-(Table1[[#This Row],[Quantity]]*Table1[[#This Row],[Unit Cost]])</f>
        <v>600</v>
      </c>
      <c r="O17" s="5">
        <f>IF(Table1[[#This Row],[Total Sales]]=0,0,Table1[[#This Row],[Profit]]/Table1[[#This Row],[Total Sales]])</f>
        <v>0.2857142857142857</v>
      </c>
      <c r="P17" s="3" t="str">
        <f>TEXT(Table1[[#This Row],[Order Date]],"mmmm")</f>
        <v>January</v>
      </c>
      <c r="Q17" s="6" t="str">
        <f t="shared" si="0"/>
        <v>الربع 1</v>
      </c>
    </row>
    <row r="18" spans="1:17" x14ac:dyDescent="0.3">
      <c r="A18" t="s">
        <v>68</v>
      </c>
      <c r="B18" s="1">
        <v>45689</v>
      </c>
      <c r="C18" s="2" t="s">
        <v>45</v>
      </c>
      <c r="D18" s="2" t="s">
        <v>23</v>
      </c>
      <c r="E18" s="2" t="s">
        <v>24</v>
      </c>
      <c r="F18" s="2" t="s">
        <v>17</v>
      </c>
      <c r="G18" s="2" t="s">
        <v>26</v>
      </c>
      <c r="H18" s="2" t="s">
        <v>69</v>
      </c>
      <c r="I18">
        <v>2</v>
      </c>
      <c r="J18" s="3">
        <v>320</v>
      </c>
      <c r="K18" s="3">
        <v>180</v>
      </c>
      <c r="L18" s="3">
        <v>640</v>
      </c>
      <c r="M18" t="s">
        <v>20</v>
      </c>
      <c r="N18" s="3">
        <f>Table1[[#This Row],[Total Sales]]-(Table1[[#This Row],[Quantity]]*Table1[[#This Row],[Unit Cost]])</f>
        <v>280</v>
      </c>
      <c r="O18" s="5">
        <f>IF(Table1[[#This Row],[Total Sales]]=0,0,Table1[[#This Row],[Profit]]/Table1[[#This Row],[Total Sales]])</f>
        <v>0.4375</v>
      </c>
      <c r="P18" s="3" t="str">
        <f>TEXT(Table1[[#This Row],[Order Date]],"mmmm")</f>
        <v>February</v>
      </c>
      <c r="Q18" s="6" t="str">
        <f t="shared" si="0"/>
        <v>الربع 1</v>
      </c>
    </row>
    <row r="19" spans="1:17" x14ac:dyDescent="0.3">
      <c r="A19" t="s">
        <v>70</v>
      </c>
      <c r="B19" s="1">
        <v>45690</v>
      </c>
      <c r="C19" s="2" t="s">
        <v>48</v>
      </c>
      <c r="D19" s="2" t="s">
        <v>30</v>
      </c>
      <c r="E19" s="2" t="s">
        <v>24</v>
      </c>
      <c r="F19" s="2" t="s">
        <v>25</v>
      </c>
      <c r="G19" s="2" t="s">
        <v>39</v>
      </c>
      <c r="H19" s="2" t="s">
        <v>71</v>
      </c>
      <c r="I19">
        <v>2</v>
      </c>
      <c r="J19" s="3">
        <v>450</v>
      </c>
      <c r="K19" s="3">
        <v>250</v>
      </c>
      <c r="L19" s="3">
        <v>900</v>
      </c>
      <c r="M19" t="s">
        <v>20</v>
      </c>
      <c r="N19" s="3">
        <f>Table1[[#This Row],[Total Sales]]-(Table1[[#This Row],[Quantity]]*Table1[[#This Row],[Unit Cost]])</f>
        <v>400</v>
      </c>
      <c r="O19" s="5">
        <f>IF(Table1[[#This Row],[Total Sales]]=0,0,Table1[[#This Row],[Profit]]/Table1[[#This Row],[Total Sales]])</f>
        <v>0.44444444444444442</v>
      </c>
      <c r="P19" s="3" t="str">
        <f>TEXT(Table1[[#This Row],[Order Date]],"mmmm")</f>
        <v>February</v>
      </c>
      <c r="Q19" s="6" t="str">
        <f t="shared" si="0"/>
        <v>الربع 1</v>
      </c>
    </row>
    <row r="20" spans="1:17" x14ac:dyDescent="0.3">
      <c r="A20" t="s">
        <v>72</v>
      </c>
      <c r="B20" s="1">
        <v>45691</v>
      </c>
      <c r="C20" s="2" t="s">
        <v>51</v>
      </c>
      <c r="D20" s="2" t="s">
        <v>15</v>
      </c>
      <c r="E20" s="2" t="s">
        <v>16</v>
      </c>
      <c r="F20" s="2" t="s">
        <v>17</v>
      </c>
      <c r="G20" s="2" t="s">
        <v>18</v>
      </c>
      <c r="H20" s="2" t="s">
        <v>73</v>
      </c>
      <c r="I20">
        <v>1</v>
      </c>
      <c r="J20" s="3">
        <v>2800</v>
      </c>
      <c r="K20" s="3">
        <v>1900</v>
      </c>
      <c r="L20" s="3">
        <v>2800</v>
      </c>
      <c r="M20" t="s">
        <v>20</v>
      </c>
      <c r="N20" s="3">
        <f>Table1[[#This Row],[Total Sales]]-(Table1[[#This Row],[Quantity]]*Table1[[#This Row],[Unit Cost]])</f>
        <v>900</v>
      </c>
      <c r="O20" s="5">
        <f>IF(Table1[[#This Row],[Total Sales]]=0,0,Table1[[#This Row],[Profit]]/Table1[[#This Row],[Total Sales]])</f>
        <v>0.32142857142857145</v>
      </c>
      <c r="P20" s="3" t="str">
        <f>TEXT(Table1[[#This Row],[Order Date]],"mmmm")</f>
        <v>February</v>
      </c>
      <c r="Q20" s="6" t="str">
        <f t="shared" si="0"/>
        <v>الربع 1</v>
      </c>
    </row>
    <row r="21" spans="1:17" x14ac:dyDescent="0.3">
      <c r="A21" t="s">
        <v>74</v>
      </c>
      <c r="B21" s="1">
        <v>45692</v>
      </c>
      <c r="C21" s="2" t="s">
        <v>54</v>
      </c>
      <c r="D21" s="2" t="s">
        <v>23</v>
      </c>
      <c r="E21" s="2" t="s">
        <v>24</v>
      </c>
      <c r="F21" s="2" t="s">
        <v>25</v>
      </c>
      <c r="G21" s="2" t="s">
        <v>31</v>
      </c>
      <c r="H21" s="2" t="s">
        <v>75</v>
      </c>
      <c r="I21">
        <v>1</v>
      </c>
      <c r="J21" s="3">
        <v>3200</v>
      </c>
      <c r="K21" s="3">
        <v>2400</v>
      </c>
      <c r="L21" s="3">
        <v>3200</v>
      </c>
      <c r="M21" t="s">
        <v>20</v>
      </c>
      <c r="N21" s="3">
        <f>Table1[[#This Row],[Total Sales]]-(Table1[[#This Row],[Quantity]]*Table1[[#This Row],[Unit Cost]])</f>
        <v>800</v>
      </c>
      <c r="O21" s="5">
        <f>IF(Table1[[#This Row],[Total Sales]]=0,0,Table1[[#This Row],[Profit]]/Table1[[#This Row],[Total Sales]])</f>
        <v>0.25</v>
      </c>
      <c r="P21" s="3" t="str">
        <f>TEXT(Table1[[#This Row],[Order Date]],"mmmm")</f>
        <v>February</v>
      </c>
      <c r="Q21" s="6" t="str">
        <f t="shared" si="0"/>
        <v>الربع 1</v>
      </c>
    </row>
    <row r="22" spans="1:17" x14ac:dyDescent="0.3">
      <c r="A22" t="s">
        <v>76</v>
      </c>
      <c r="B22" s="1">
        <v>45693</v>
      </c>
      <c r="C22" s="2" t="s">
        <v>14</v>
      </c>
      <c r="D22" s="2" t="s">
        <v>15</v>
      </c>
      <c r="E22" s="2" t="s">
        <v>16</v>
      </c>
      <c r="F22" s="2" t="s">
        <v>17</v>
      </c>
      <c r="G22" s="2" t="s">
        <v>26</v>
      </c>
      <c r="H22" s="2" t="s">
        <v>77</v>
      </c>
      <c r="I22">
        <v>1</v>
      </c>
      <c r="J22" s="3">
        <v>650</v>
      </c>
      <c r="K22" s="3">
        <v>380</v>
      </c>
      <c r="L22" s="3">
        <v>650</v>
      </c>
      <c r="M22" t="s">
        <v>20</v>
      </c>
      <c r="N22" s="3">
        <f>Table1[[#This Row],[Total Sales]]-(Table1[[#This Row],[Quantity]]*Table1[[#This Row],[Unit Cost]])</f>
        <v>270</v>
      </c>
      <c r="O22" s="5">
        <f>IF(Table1[[#This Row],[Total Sales]]=0,0,Table1[[#This Row],[Profit]]/Table1[[#This Row],[Total Sales]])</f>
        <v>0.41538461538461541</v>
      </c>
      <c r="P22" s="3" t="str">
        <f>TEXT(Table1[[#This Row],[Order Date]],"mmmm")</f>
        <v>February</v>
      </c>
      <c r="Q22" s="6" t="str">
        <f t="shared" si="0"/>
        <v>الربع 1</v>
      </c>
    </row>
    <row r="23" spans="1:17" x14ac:dyDescent="0.3">
      <c r="A23" t="s">
        <v>78</v>
      </c>
      <c r="B23" s="1">
        <v>45810</v>
      </c>
      <c r="C23" s="2" t="s">
        <v>22</v>
      </c>
      <c r="D23" s="2" t="s">
        <v>23</v>
      </c>
      <c r="E23" s="2" t="s">
        <v>377</v>
      </c>
      <c r="F23" s="2" t="s">
        <v>25</v>
      </c>
      <c r="G23" s="2" t="s">
        <v>39</v>
      </c>
      <c r="H23" s="2" t="s">
        <v>79</v>
      </c>
      <c r="I23">
        <v>5</v>
      </c>
      <c r="J23" s="3">
        <v>180</v>
      </c>
      <c r="K23" s="3">
        <v>95</v>
      </c>
      <c r="L23" s="3">
        <v>900</v>
      </c>
      <c r="M23" t="s">
        <v>20</v>
      </c>
      <c r="N23" s="3">
        <f>Table1[[#This Row],[Total Sales]]-(Table1[[#This Row],[Quantity]]*Table1[[#This Row],[Unit Cost]])</f>
        <v>425</v>
      </c>
      <c r="O23" s="5">
        <f>IF(Table1[[#This Row],[Total Sales]]=0,0,Table1[[#This Row],[Profit]]/Table1[[#This Row],[Total Sales]])</f>
        <v>0.47222222222222221</v>
      </c>
      <c r="P23" s="3" t="str">
        <f>TEXT(Table1[[#This Row],[Order Date]],"mmmm")</f>
        <v>June</v>
      </c>
      <c r="Q23" s="6" t="str">
        <f t="shared" si="0"/>
        <v>الربع 2</v>
      </c>
    </row>
    <row r="24" spans="1:17" x14ac:dyDescent="0.3">
      <c r="A24" t="s">
        <v>80</v>
      </c>
      <c r="B24" s="1">
        <v>45695</v>
      </c>
      <c r="C24" s="2" t="s">
        <v>29</v>
      </c>
      <c r="D24" s="2" t="s">
        <v>30</v>
      </c>
      <c r="E24" s="2" t="s">
        <v>16</v>
      </c>
      <c r="F24" s="2" t="s">
        <v>17</v>
      </c>
      <c r="G24" s="2" t="s">
        <v>18</v>
      </c>
      <c r="H24" s="2" t="s">
        <v>81</v>
      </c>
      <c r="I24">
        <v>2</v>
      </c>
      <c r="J24" s="3">
        <v>199</v>
      </c>
      <c r="K24" s="3">
        <v>99</v>
      </c>
      <c r="L24" s="3">
        <v>398</v>
      </c>
      <c r="M24" t="s">
        <v>20</v>
      </c>
      <c r="N24" s="3">
        <f>Table1[[#This Row],[Total Sales]]-(Table1[[#This Row],[Quantity]]*Table1[[#This Row],[Unit Cost]])</f>
        <v>200</v>
      </c>
      <c r="O24" s="5">
        <f>IF(Table1[[#This Row],[Total Sales]]=0,0,Table1[[#This Row],[Profit]]/Table1[[#This Row],[Total Sales]])</f>
        <v>0.50251256281407031</v>
      </c>
      <c r="P24" s="3" t="str">
        <f>TEXT(Table1[[#This Row],[Order Date]],"mmmm")</f>
        <v>February</v>
      </c>
      <c r="Q24" s="6" t="str">
        <f t="shared" si="0"/>
        <v>الربع 1</v>
      </c>
    </row>
    <row r="25" spans="1:17" x14ac:dyDescent="0.3">
      <c r="A25" t="s">
        <v>82</v>
      </c>
      <c r="B25" s="1">
        <v>45696</v>
      </c>
      <c r="C25" s="2" t="s">
        <v>34</v>
      </c>
      <c r="D25" s="2" t="s">
        <v>15</v>
      </c>
      <c r="E25" s="2" t="s">
        <v>24</v>
      </c>
      <c r="F25" s="2" t="s">
        <v>25</v>
      </c>
      <c r="G25" s="2" t="s">
        <v>31</v>
      </c>
      <c r="H25" s="2" t="s">
        <v>83</v>
      </c>
      <c r="I25">
        <v>1</v>
      </c>
      <c r="J25" s="3">
        <v>1850</v>
      </c>
      <c r="K25" s="3">
        <v>1200</v>
      </c>
      <c r="L25" s="3">
        <v>1850</v>
      </c>
      <c r="M25" t="s">
        <v>20</v>
      </c>
      <c r="N25" s="3">
        <f>Table1[[#This Row],[Total Sales]]-(Table1[[#This Row],[Quantity]]*Table1[[#This Row],[Unit Cost]])</f>
        <v>650</v>
      </c>
      <c r="O25" s="5">
        <f>IF(Table1[[#This Row],[Total Sales]]=0,0,Table1[[#This Row],[Profit]]/Table1[[#This Row],[Total Sales]])</f>
        <v>0.35135135135135137</v>
      </c>
      <c r="P25" s="3" t="str">
        <f>TEXT(Table1[[#This Row],[Order Date]],"mmmm")</f>
        <v>February</v>
      </c>
      <c r="Q25" s="6" t="str">
        <f t="shared" si="0"/>
        <v>الربع 1</v>
      </c>
    </row>
    <row r="26" spans="1:17" x14ac:dyDescent="0.3">
      <c r="A26" t="s">
        <v>84</v>
      </c>
      <c r="B26" s="1">
        <v>45697</v>
      </c>
      <c r="C26" s="2" t="s">
        <v>37</v>
      </c>
      <c r="D26" s="2" t="s">
        <v>38</v>
      </c>
      <c r="E26" s="2" t="s">
        <v>16</v>
      </c>
      <c r="F26" s="2" t="s">
        <v>17</v>
      </c>
      <c r="G26" s="2" t="s">
        <v>26</v>
      </c>
      <c r="H26" s="2" t="s">
        <v>85</v>
      </c>
      <c r="I26">
        <v>1</v>
      </c>
      <c r="J26" s="3">
        <v>450</v>
      </c>
      <c r="K26" s="3">
        <v>250</v>
      </c>
      <c r="L26" s="3">
        <v>450</v>
      </c>
      <c r="M26" t="s">
        <v>20</v>
      </c>
      <c r="N26" s="3">
        <f>Table1[[#This Row],[Total Sales]]-(Table1[[#This Row],[Quantity]]*Table1[[#This Row],[Unit Cost]])</f>
        <v>200</v>
      </c>
      <c r="O26" s="5">
        <f>IF(Table1[[#This Row],[Total Sales]]=0,0,Table1[[#This Row],[Profit]]/Table1[[#This Row],[Total Sales]])</f>
        <v>0.44444444444444442</v>
      </c>
      <c r="P26" s="3" t="str">
        <f>TEXT(Table1[[#This Row],[Order Date]],"mmmm")</f>
        <v>February</v>
      </c>
      <c r="Q26" s="6" t="str">
        <f t="shared" si="0"/>
        <v>الربع 1</v>
      </c>
    </row>
    <row r="27" spans="1:17" x14ac:dyDescent="0.3">
      <c r="A27" t="s">
        <v>86</v>
      </c>
      <c r="B27" s="1">
        <v>45932</v>
      </c>
      <c r="C27" s="2" t="s">
        <v>42</v>
      </c>
      <c r="D27" s="2" t="s">
        <v>15</v>
      </c>
      <c r="E27" s="2" t="s">
        <v>16</v>
      </c>
      <c r="F27" s="2" t="s">
        <v>25</v>
      </c>
      <c r="G27" s="2" t="s">
        <v>39</v>
      </c>
      <c r="H27" s="2" t="s">
        <v>87</v>
      </c>
      <c r="I27">
        <v>1</v>
      </c>
      <c r="J27" s="3">
        <v>2200</v>
      </c>
      <c r="K27" s="3">
        <v>1450</v>
      </c>
      <c r="L27" s="3">
        <v>2200</v>
      </c>
      <c r="M27" t="s">
        <v>20</v>
      </c>
      <c r="N27" s="3">
        <f>Table1[[#This Row],[Total Sales]]-(Table1[[#This Row],[Quantity]]*Table1[[#This Row],[Unit Cost]])</f>
        <v>750</v>
      </c>
      <c r="O27" s="5">
        <f>IF(Table1[[#This Row],[Total Sales]]=0,0,Table1[[#This Row],[Profit]]/Table1[[#This Row],[Total Sales]])</f>
        <v>0.34090909090909088</v>
      </c>
      <c r="P27" s="3" t="str">
        <f>TEXT(Table1[[#This Row],[Order Date]],"mmmm")</f>
        <v>October</v>
      </c>
      <c r="Q27" s="6" t="str">
        <f t="shared" si="0"/>
        <v>الربع 4</v>
      </c>
    </row>
    <row r="28" spans="1:17" x14ac:dyDescent="0.3">
      <c r="A28" t="s">
        <v>88</v>
      </c>
      <c r="B28" s="1">
        <v>45699</v>
      </c>
      <c r="C28" s="2" t="s">
        <v>45</v>
      </c>
      <c r="D28" s="2" t="s">
        <v>23</v>
      </c>
      <c r="E28" s="2" t="s">
        <v>24</v>
      </c>
      <c r="F28" s="2" t="s">
        <v>17</v>
      </c>
      <c r="G28" s="2" t="s">
        <v>18</v>
      </c>
      <c r="H28" s="2" t="s">
        <v>89</v>
      </c>
      <c r="I28">
        <v>1</v>
      </c>
      <c r="J28" s="3">
        <v>1800</v>
      </c>
      <c r="K28" s="3">
        <v>1350</v>
      </c>
      <c r="L28" s="3">
        <v>1800</v>
      </c>
      <c r="M28" t="s">
        <v>20</v>
      </c>
      <c r="N28" s="3">
        <f>Table1[[#This Row],[Total Sales]]-(Table1[[#This Row],[Quantity]]*Table1[[#This Row],[Unit Cost]])</f>
        <v>450</v>
      </c>
      <c r="O28" s="5">
        <f>IF(Table1[[#This Row],[Total Sales]]=0,0,Table1[[#This Row],[Profit]]/Table1[[#This Row],[Total Sales]])</f>
        <v>0.25</v>
      </c>
      <c r="P28" s="3" t="str">
        <f>TEXT(Table1[[#This Row],[Order Date]],"mmmm")</f>
        <v>February</v>
      </c>
      <c r="Q28" s="6" t="str">
        <f t="shared" si="0"/>
        <v>الربع 1</v>
      </c>
    </row>
    <row r="29" spans="1:17" x14ac:dyDescent="0.3">
      <c r="A29" t="s">
        <v>90</v>
      </c>
      <c r="B29" s="1">
        <v>45700</v>
      </c>
      <c r="C29" s="2" t="s">
        <v>48</v>
      </c>
      <c r="D29" s="2" t="s">
        <v>30</v>
      </c>
      <c r="E29" s="2" t="s">
        <v>24</v>
      </c>
      <c r="F29" s="2" t="s">
        <v>25</v>
      </c>
      <c r="G29" s="2" t="s">
        <v>31</v>
      </c>
      <c r="H29" s="2" t="s">
        <v>91</v>
      </c>
      <c r="I29">
        <v>1</v>
      </c>
      <c r="J29" s="3">
        <v>2900</v>
      </c>
      <c r="K29" s="3">
        <v>2100</v>
      </c>
      <c r="L29" s="3">
        <v>2900</v>
      </c>
      <c r="M29" t="s">
        <v>20</v>
      </c>
      <c r="N29" s="3">
        <f>Table1[[#This Row],[Total Sales]]-(Table1[[#This Row],[Quantity]]*Table1[[#This Row],[Unit Cost]])</f>
        <v>800</v>
      </c>
      <c r="O29" s="5">
        <f>IF(Table1[[#This Row],[Total Sales]]=0,0,Table1[[#This Row],[Profit]]/Table1[[#This Row],[Total Sales]])</f>
        <v>0.27586206896551724</v>
      </c>
      <c r="P29" s="3" t="str">
        <f>TEXT(Table1[[#This Row],[Order Date]],"mmmm")</f>
        <v>February</v>
      </c>
      <c r="Q29" s="6" t="str">
        <f t="shared" si="0"/>
        <v>الربع 1</v>
      </c>
    </row>
    <row r="30" spans="1:17" x14ac:dyDescent="0.3">
      <c r="A30" t="s">
        <v>92</v>
      </c>
      <c r="B30" s="1">
        <v>45701</v>
      </c>
      <c r="C30" s="2" t="s">
        <v>51</v>
      </c>
      <c r="D30" s="2" t="s">
        <v>15</v>
      </c>
      <c r="E30" s="2" t="s">
        <v>16</v>
      </c>
      <c r="F30" s="2" t="s">
        <v>17</v>
      </c>
      <c r="G30" s="2" t="s">
        <v>26</v>
      </c>
      <c r="H30" s="2" t="s">
        <v>93</v>
      </c>
      <c r="I30">
        <v>2</v>
      </c>
      <c r="J30" s="3">
        <v>310</v>
      </c>
      <c r="K30" s="3">
        <v>160</v>
      </c>
      <c r="L30" s="3">
        <v>620</v>
      </c>
      <c r="M30" t="s">
        <v>20</v>
      </c>
      <c r="N30" s="3">
        <f>Table1[[#This Row],[Total Sales]]-(Table1[[#This Row],[Quantity]]*Table1[[#This Row],[Unit Cost]])</f>
        <v>300</v>
      </c>
      <c r="O30" s="5">
        <f>IF(Table1[[#This Row],[Total Sales]]=0,0,Table1[[#This Row],[Profit]]/Table1[[#This Row],[Total Sales]])</f>
        <v>0.4838709677419355</v>
      </c>
      <c r="P30" s="3" t="str">
        <f>TEXT(Table1[[#This Row],[Order Date]],"mmmm")</f>
        <v>February</v>
      </c>
      <c r="Q30" s="6" t="str">
        <f t="shared" si="0"/>
        <v>الربع 1</v>
      </c>
    </row>
    <row r="31" spans="1:17" x14ac:dyDescent="0.3">
      <c r="A31" t="s">
        <v>94</v>
      </c>
      <c r="B31" s="1">
        <v>45702</v>
      </c>
      <c r="C31" s="2" t="s">
        <v>54</v>
      </c>
      <c r="D31" s="2" t="s">
        <v>23</v>
      </c>
      <c r="E31" s="2" t="s">
        <v>24</v>
      </c>
      <c r="F31" s="2" t="s">
        <v>25</v>
      </c>
      <c r="G31" s="2" t="s">
        <v>39</v>
      </c>
      <c r="H31" s="2" t="s">
        <v>95</v>
      </c>
      <c r="I31">
        <v>1</v>
      </c>
      <c r="J31" s="3">
        <v>550</v>
      </c>
      <c r="K31" s="3">
        <v>320</v>
      </c>
      <c r="L31" s="3">
        <v>550</v>
      </c>
      <c r="M31" t="s">
        <v>20</v>
      </c>
      <c r="N31" s="3">
        <f>Table1[[#This Row],[Total Sales]]-(Table1[[#This Row],[Quantity]]*Table1[[#This Row],[Unit Cost]])</f>
        <v>230</v>
      </c>
      <c r="O31" s="5">
        <f>IF(Table1[[#This Row],[Total Sales]]=0,0,Table1[[#This Row],[Profit]]/Table1[[#This Row],[Total Sales]])</f>
        <v>0.41818181818181815</v>
      </c>
      <c r="P31" s="3" t="str">
        <f>TEXT(Table1[[#This Row],[Order Date]],"mmmm")</f>
        <v>February</v>
      </c>
      <c r="Q31" s="6" t="str">
        <f t="shared" si="0"/>
        <v>الربع 1</v>
      </c>
    </row>
    <row r="32" spans="1:17" x14ac:dyDescent="0.3">
      <c r="A32" t="s">
        <v>96</v>
      </c>
      <c r="B32" s="1">
        <v>45703</v>
      </c>
      <c r="C32" s="2" t="s">
        <v>14</v>
      </c>
      <c r="D32" s="2" t="s">
        <v>15</v>
      </c>
      <c r="E32" s="2" t="s">
        <v>16</v>
      </c>
      <c r="F32" s="2" t="s">
        <v>17</v>
      </c>
      <c r="G32" s="2" t="s">
        <v>18</v>
      </c>
      <c r="H32" s="2" t="s">
        <v>97</v>
      </c>
      <c r="I32">
        <v>1</v>
      </c>
      <c r="J32" s="3">
        <v>420</v>
      </c>
      <c r="K32" s="3">
        <v>260</v>
      </c>
      <c r="L32" s="3">
        <v>420</v>
      </c>
      <c r="M32" t="s">
        <v>20</v>
      </c>
      <c r="N32" s="3">
        <f>Table1[[#This Row],[Total Sales]]-(Table1[[#This Row],[Quantity]]*Table1[[#This Row],[Unit Cost]])</f>
        <v>160</v>
      </c>
      <c r="O32" s="5">
        <f>IF(Table1[[#This Row],[Total Sales]]=0,0,Table1[[#This Row],[Profit]]/Table1[[#This Row],[Total Sales]])</f>
        <v>0.38095238095238093</v>
      </c>
      <c r="P32" s="3" t="str">
        <f>TEXT(Table1[[#This Row],[Order Date]],"mmmm")</f>
        <v>February</v>
      </c>
      <c r="Q32" s="6" t="str">
        <f t="shared" si="0"/>
        <v>الربع 1</v>
      </c>
    </row>
    <row r="33" spans="1:17" x14ac:dyDescent="0.3">
      <c r="A33" t="s">
        <v>98</v>
      </c>
      <c r="B33" s="1">
        <v>45704</v>
      </c>
      <c r="C33" s="2" t="s">
        <v>22</v>
      </c>
      <c r="D33" s="2" t="s">
        <v>23</v>
      </c>
      <c r="E33" s="2" t="s">
        <v>24</v>
      </c>
      <c r="F33" s="2" t="s">
        <v>25</v>
      </c>
      <c r="G33" s="2" t="s">
        <v>31</v>
      </c>
      <c r="H33" s="2" t="s">
        <v>99</v>
      </c>
      <c r="I33">
        <v>3</v>
      </c>
      <c r="J33" s="3">
        <v>195</v>
      </c>
      <c r="K33" s="3">
        <v>110</v>
      </c>
      <c r="L33" s="3">
        <v>585</v>
      </c>
      <c r="M33" t="s">
        <v>20</v>
      </c>
      <c r="N33" s="3">
        <f>Table1[[#This Row],[Total Sales]]-(Table1[[#This Row],[Quantity]]*Table1[[#This Row],[Unit Cost]])</f>
        <v>255</v>
      </c>
      <c r="O33" s="5">
        <f>IF(Table1[[#This Row],[Total Sales]]=0,0,Table1[[#This Row],[Profit]]/Table1[[#This Row],[Total Sales]])</f>
        <v>0.4358974358974359</v>
      </c>
      <c r="P33" s="3" t="str">
        <f>TEXT(Table1[[#This Row],[Order Date]],"mmmm")</f>
        <v>February</v>
      </c>
      <c r="Q33" s="6" t="str">
        <f t="shared" si="0"/>
        <v>الربع 1</v>
      </c>
    </row>
    <row r="34" spans="1:17" x14ac:dyDescent="0.3">
      <c r="A34" t="s">
        <v>100</v>
      </c>
      <c r="B34" s="1">
        <v>45705</v>
      </c>
      <c r="C34" s="2" t="s">
        <v>29</v>
      </c>
      <c r="D34" s="2" t="s">
        <v>30</v>
      </c>
      <c r="E34" s="2" t="s">
        <v>16</v>
      </c>
      <c r="F34" s="2" t="s">
        <v>17</v>
      </c>
      <c r="G34" s="2" t="s">
        <v>26</v>
      </c>
      <c r="H34" s="2" t="s">
        <v>101</v>
      </c>
      <c r="I34">
        <v>1</v>
      </c>
      <c r="J34" s="3">
        <v>380</v>
      </c>
      <c r="K34" s="3">
        <v>220</v>
      </c>
      <c r="L34" s="3">
        <v>380</v>
      </c>
      <c r="M34" t="s">
        <v>20</v>
      </c>
      <c r="N34" s="3">
        <f>Table1[[#This Row],[Total Sales]]-(Table1[[#This Row],[Quantity]]*Table1[[#This Row],[Unit Cost]])</f>
        <v>160</v>
      </c>
      <c r="O34" s="5">
        <f>IF(Table1[[#This Row],[Total Sales]]=0,0,Table1[[#This Row],[Profit]]/Table1[[#This Row],[Total Sales]])</f>
        <v>0.42105263157894735</v>
      </c>
      <c r="P34" s="3" t="str">
        <f>TEXT(Table1[[#This Row],[Order Date]],"mmmm")</f>
        <v>February</v>
      </c>
      <c r="Q34" s="6" t="str">
        <f t="shared" ref="Q34:Q65" si="1">"الربع "&amp;ROUNDUP(MONTH(B34)/3,0)</f>
        <v>الربع 1</v>
      </c>
    </row>
    <row r="35" spans="1:17" x14ac:dyDescent="0.3">
      <c r="A35" t="s">
        <v>102</v>
      </c>
      <c r="B35" s="1">
        <v>45706</v>
      </c>
      <c r="C35" s="2" t="s">
        <v>34</v>
      </c>
      <c r="D35" s="2" t="s">
        <v>15</v>
      </c>
      <c r="E35" s="2" t="s">
        <v>24</v>
      </c>
      <c r="F35" s="2" t="s">
        <v>25</v>
      </c>
      <c r="G35" s="2" t="s">
        <v>39</v>
      </c>
      <c r="H35" s="2" t="s">
        <v>103</v>
      </c>
      <c r="I35">
        <v>2</v>
      </c>
      <c r="J35" s="3">
        <v>290</v>
      </c>
      <c r="K35" s="3">
        <v>160</v>
      </c>
      <c r="L35" s="3">
        <v>580</v>
      </c>
      <c r="M35" t="s">
        <v>20</v>
      </c>
      <c r="N35" s="3">
        <f>Table1[[#This Row],[Total Sales]]-(Table1[[#This Row],[Quantity]]*Table1[[#This Row],[Unit Cost]])</f>
        <v>260</v>
      </c>
      <c r="O35" s="5">
        <f>IF(Table1[[#This Row],[Total Sales]]=0,0,Table1[[#This Row],[Profit]]/Table1[[#This Row],[Total Sales]])</f>
        <v>0.44827586206896552</v>
      </c>
      <c r="P35" s="3" t="str">
        <f>TEXT(Table1[[#This Row],[Order Date]],"mmmm")</f>
        <v>February</v>
      </c>
      <c r="Q35" s="6" t="str">
        <f t="shared" si="1"/>
        <v>الربع 1</v>
      </c>
    </row>
    <row r="36" spans="1:17" x14ac:dyDescent="0.3">
      <c r="A36" t="s">
        <v>104</v>
      </c>
      <c r="B36" s="1">
        <v>45707</v>
      </c>
      <c r="C36" s="2" t="s">
        <v>37</v>
      </c>
      <c r="D36" s="2" t="s">
        <v>38</v>
      </c>
      <c r="E36" s="2" t="s">
        <v>16</v>
      </c>
      <c r="F36" s="2" t="s">
        <v>17</v>
      </c>
      <c r="G36" s="2" t="s">
        <v>18</v>
      </c>
      <c r="H36" s="2" t="s">
        <v>105</v>
      </c>
      <c r="I36">
        <v>1</v>
      </c>
      <c r="J36" s="3">
        <v>1100</v>
      </c>
      <c r="K36" s="3">
        <v>780</v>
      </c>
      <c r="L36" s="3">
        <v>1100</v>
      </c>
      <c r="M36" t="s">
        <v>20</v>
      </c>
      <c r="N36" s="3">
        <f>Table1[[#This Row],[Total Sales]]-(Table1[[#This Row],[Quantity]]*Table1[[#This Row],[Unit Cost]])</f>
        <v>320</v>
      </c>
      <c r="O36" s="5">
        <f>IF(Table1[[#This Row],[Total Sales]]=0,0,Table1[[#This Row],[Profit]]/Table1[[#This Row],[Total Sales]])</f>
        <v>0.29090909090909089</v>
      </c>
      <c r="P36" s="3" t="str">
        <f>TEXT(Table1[[#This Row],[Order Date]],"mmmm")</f>
        <v>February</v>
      </c>
      <c r="Q36" s="6" t="str">
        <f t="shared" si="1"/>
        <v>الربع 1</v>
      </c>
    </row>
    <row r="37" spans="1:17" x14ac:dyDescent="0.3">
      <c r="A37" t="s">
        <v>106</v>
      </c>
      <c r="B37" s="1">
        <v>45690</v>
      </c>
      <c r="C37" s="2" t="s">
        <v>42</v>
      </c>
      <c r="D37" s="2" t="s">
        <v>15</v>
      </c>
      <c r="E37" s="2" t="s">
        <v>16</v>
      </c>
      <c r="F37" s="2" t="s">
        <v>25</v>
      </c>
      <c r="G37" s="2" t="s">
        <v>31</v>
      </c>
      <c r="H37" s="2" t="s">
        <v>107</v>
      </c>
      <c r="I37">
        <v>1</v>
      </c>
      <c r="J37" s="3">
        <v>950</v>
      </c>
      <c r="K37" s="3">
        <v>620</v>
      </c>
      <c r="L37" s="3">
        <v>950</v>
      </c>
      <c r="M37" t="s">
        <v>20</v>
      </c>
      <c r="N37" s="3">
        <f>Table1[[#This Row],[Total Sales]]-(Table1[[#This Row],[Quantity]]*Table1[[#This Row],[Unit Cost]])</f>
        <v>330</v>
      </c>
      <c r="O37" s="5">
        <f>IF(Table1[[#This Row],[Total Sales]]=0,0,Table1[[#This Row],[Profit]]/Table1[[#This Row],[Total Sales]])</f>
        <v>0.3473684210526316</v>
      </c>
      <c r="P37" s="3" t="str">
        <f>TEXT(Table1[[#This Row],[Order Date]],"mmmm")</f>
        <v>February</v>
      </c>
      <c r="Q37" s="6" t="str">
        <f t="shared" si="1"/>
        <v>الربع 1</v>
      </c>
    </row>
    <row r="38" spans="1:17" x14ac:dyDescent="0.3">
      <c r="A38" t="s">
        <v>108</v>
      </c>
      <c r="B38" s="1">
        <v>45709</v>
      </c>
      <c r="C38" s="2" t="s">
        <v>45</v>
      </c>
      <c r="D38" s="2" t="s">
        <v>23</v>
      </c>
      <c r="E38" s="2" t="s">
        <v>24</v>
      </c>
      <c r="F38" s="2" t="s">
        <v>17</v>
      </c>
      <c r="G38" s="2" t="s">
        <v>26</v>
      </c>
      <c r="H38" s="2" t="s">
        <v>109</v>
      </c>
      <c r="I38">
        <v>4</v>
      </c>
      <c r="J38" s="3">
        <v>190</v>
      </c>
      <c r="K38" s="3">
        <v>95</v>
      </c>
      <c r="L38" s="3">
        <v>760</v>
      </c>
      <c r="M38" t="s">
        <v>20</v>
      </c>
      <c r="N38" s="3">
        <f>Table1[[#This Row],[Total Sales]]-(Table1[[#This Row],[Quantity]]*Table1[[#This Row],[Unit Cost]])</f>
        <v>380</v>
      </c>
      <c r="O38" s="5">
        <f>IF(Table1[[#This Row],[Total Sales]]=0,0,Table1[[#This Row],[Profit]]/Table1[[#This Row],[Total Sales]])</f>
        <v>0.5</v>
      </c>
      <c r="P38" s="3" t="str">
        <f>TEXT(Table1[[#This Row],[Order Date]],"mmmm")</f>
        <v>February</v>
      </c>
      <c r="Q38" s="6" t="str">
        <f t="shared" si="1"/>
        <v>الربع 1</v>
      </c>
    </row>
    <row r="39" spans="1:17" x14ac:dyDescent="0.3">
      <c r="A39" t="s">
        <v>110</v>
      </c>
      <c r="B39" s="1">
        <v>45710</v>
      </c>
      <c r="C39" s="2" t="s">
        <v>48</v>
      </c>
      <c r="D39" s="2" t="s">
        <v>30</v>
      </c>
      <c r="E39" s="2" t="s">
        <v>24</v>
      </c>
      <c r="F39" s="2" t="s">
        <v>25</v>
      </c>
      <c r="G39" s="2" t="s">
        <v>39</v>
      </c>
      <c r="H39" s="2" t="s">
        <v>111</v>
      </c>
      <c r="I39">
        <v>3</v>
      </c>
      <c r="J39" s="3">
        <v>145</v>
      </c>
      <c r="K39" s="3">
        <v>75</v>
      </c>
      <c r="L39" s="3">
        <v>435</v>
      </c>
      <c r="M39" t="s">
        <v>20</v>
      </c>
      <c r="N39" s="3">
        <f>Table1[[#This Row],[Total Sales]]-(Table1[[#This Row],[Quantity]]*Table1[[#This Row],[Unit Cost]])</f>
        <v>210</v>
      </c>
      <c r="O39" s="5">
        <f>IF(Table1[[#This Row],[Total Sales]]=0,0,Table1[[#This Row],[Profit]]/Table1[[#This Row],[Total Sales]])</f>
        <v>0.48275862068965519</v>
      </c>
      <c r="P39" s="3" t="str">
        <f>TEXT(Table1[[#This Row],[Order Date]],"mmmm")</f>
        <v>February</v>
      </c>
      <c r="Q39" s="6" t="str">
        <f t="shared" si="1"/>
        <v>الربع 1</v>
      </c>
    </row>
    <row r="40" spans="1:17" x14ac:dyDescent="0.3">
      <c r="A40" t="s">
        <v>112</v>
      </c>
      <c r="B40" s="1">
        <v>45711</v>
      </c>
      <c r="C40" s="2" t="s">
        <v>51</v>
      </c>
      <c r="D40" s="2" t="s">
        <v>15</v>
      </c>
      <c r="E40" s="2" t="s">
        <v>16</v>
      </c>
      <c r="F40" s="2" t="s">
        <v>17</v>
      </c>
      <c r="G40" s="2" t="s">
        <v>18</v>
      </c>
      <c r="H40" s="2" t="s">
        <v>113</v>
      </c>
      <c r="I40">
        <v>5</v>
      </c>
      <c r="J40" s="3">
        <v>85</v>
      </c>
      <c r="K40" s="3">
        <v>45</v>
      </c>
      <c r="L40" s="3">
        <v>425</v>
      </c>
      <c r="M40" t="s">
        <v>20</v>
      </c>
      <c r="N40" s="3">
        <f>Table1[[#This Row],[Total Sales]]-(Table1[[#This Row],[Quantity]]*Table1[[#This Row],[Unit Cost]])</f>
        <v>200</v>
      </c>
      <c r="O40" s="5">
        <f>IF(Table1[[#This Row],[Total Sales]]=0,0,Table1[[#This Row],[Profit]]/Table1[[#This Row],[Total Sales]])</f>
        <v>0.47058823529411764</v>
      </c>
      <c r="P40" s="3" t="str">
        <f>TEXT(Table1[[#This Row],[Order Date]],"mmmm")</f>
        <v>February</v>
      </c>
      <c r="Q40" s="6" t="str">
        <f t="shared" si="1"/>
        <v>الربع 1</v>
      </c>
    </row>
    <row r="41" spans="1:17" x14ac:dyDescent="0.3">
      <c r="A41" t="s">
        <v>114</v>
      </c>
      <c r="B41" s="1">
        <v>45712</v>
      </c>
      <c r="C41" s="2" t="s">
        <v>54</v>
      </c>
      <c r="D41" s="2" t="s">
        <v>23</v>
      </c>
      <c r="E41" s="2" t="s">
        <v>24</v>
      </c>
      <c r="F41" s="2" t="s">
        <v>25</v>
      </c>
      <c r="G41" s="2" t="s">
        <v>31</v>
      </c>
      <c r="H41" s="2" t="s">
        <v>115</v>
      </c>
      <c r="I41">
        <v>1</v>
      </c>
      <c r="J41" s="3">
        <v>1350</v>
      </c>
      <c r="K41" s="3">
        <v>920</v>
      </c>
      <c r="L41" s="3">
        <v>1350</v>
      </c>
      <c r="M41" t="s">
        <v>20</v>
      </c>
      <c r="N41" s="3">
        <f>Table1[[#This Row],[Total Sales]]-(Table1[[#This Row],[Quantity]]*Table1[[#This Row],[Unit Cost]])</f>
        <v>430</v>
      </c>
      <c r="O41" s="5">
        <f>IF(Table1[[#This Row],[Total Sales]]=0,0,Table1[[#This Row],[Profit]]/Table1[[#This Row],[Total Sales]])</f>
        <v>0.31851851851851853</v>
      </c>
      <c r="P41" s="3" t="str">
        <f>TEXT(Table1[[#This Row],[Order Date]],"mmmm")</f>
        <v>February</v>
      </c>
      <c r="Q41" s="6" t="str">
        <f t="shared" si="1"/>
        <v>الربع 1</v>
      </c>
    </row>
    <row r="42" spans="1:17" x14ac:dyDescent="0.3">
      <c r="A42" t="s">
        <v>116</v>
      </c>
      <c r="B42" s="1">
        <v>45713</v>
      </c>
      <c r="C42" s="2" t="s">
        <v>14</v>
      </c>
      <c r="D42" s="2" t="s">
        <v>15</v>
      </c>
      <c r="E42" s="2" t="s">
        <v>16</v>
      </c>
      <c r="F42" s="2" t="s">
        <v>17</v>
      </c>
      <c r="G42" s="2" t="s">
        <v>26</v>
      </c>
      <c r="H42" s="2" t="s">
        <v>117</v>
      </c>
      <c r="I42">
        <v>3</v>
      </c>
      <c r="J42" s="3">
        <v>120</v>
      </c>
      <c r="K42" s="3">
        <v>60</v>
      </c>
      <c r="L42" s="3">
        <v>360</v>
      </c>
      <c r="M42" t="s">
        <v>20</v>
      </c>
      <c r="N42" s="3">
        <f>Table1[[#This Row],[Total Sales]]-(Table1[[#This Row],[Quantity]]*Table1[[#This Row],[Unit Cost]])</f>
        <v>180</v>
      </c>
      <c r="O42" s="5">
        <f>IF(Table1[[#This Row],[Total Sales]]=0,0,Table1[[#This Row],[Profit]]/Table1[[#This Row],[Total Sales]])</f>
        <v>0.5</v>
      </c>
      <c r="P42" s="3" t="str">
        <f>TEXT(Table1[[#This Row],[Order Date]],"mmmm")</f>
        <v>February</v>
      </c>
      <c r="Q42" s="6" t="str">
        <f t="shared" si="1"/>
        <v>الربع 1</v>
      </c>
    </row>
    <row r="43" spans="1:17" x14ac:dyDescent="0.3">
      <c r="A43" t="s">
        <v>118</v>
      </c>
      <c r="B43" s="1">
        <v>45714</v>
      </c>
      <c r="C43" s="2" t="s">
        <v>22</v>
      </c>
      <c r="D43" s="2" t="s">
        <v>23</v>
      </c>
      <c r="E43" s="2" t="s">
        <v>377</v>
      </c>
      <c r="F43" s="2" t="s">
        <v>25</v>
      </c>
      <c r="G43" s="2" t="s">
        <v>39</v>
      </c>
      <c r="H43" s="2" t="s">
        <v>119</v>
      </c>
      <c r="I43">
        <v>4</v>
      </c>
      <c r="J43" s="3">
        <v>180</v>
      </c>
      <c r="K43" s="3">
        <v>95</v>
      </c>
      <c r="L43" s="3">
        <v>720</v>
      </c>
      <c r="M43" t="s">
        <v>20</v>
      </c>
      <c r="N43" s="3">
        <f>Table1[[#This Row],[Total Sales]]-(Table1[[#This Row],[Quantity]]*Table1[[#This Row],[Unit Cost]])</f>
        <v>340</v>
      </c>
      <c r="O43" s="5">
        <f>IF(Table1[[#This Row],[Total Sales]]=0,0,Table1[[#This Row],[Profit]]/Table1[[#This Row],[Total Sales]])</f>
        <v>0.47222222222222221</v>
      </c>
      <c r="P43" s="3" t="str">
        <f>TEXT(Table1[[#This Row],[Order Date]],"mmmm")</f>
        <v>February</v>
      </c>
      <c r="Q43" s="6" t="str">
        <f t="shared" si="1"/>
        <v>الربع 1</v>
      </c>
    </row>
    <row r="44" spans="1:17" x14ac:dyDescent="0.3">
      <c r="A44" t="s">
        <v>120</v>
      </c>
      <c r="B44" s="1">
        <v>45715</v>
      </c>
      <c r="C44" s="2" t="s">
        <v>29</v>
      </c>
      <c r="D44" s="2" t="s">
        <v>30</v>
      </c>
      <c r="E44" s="2" t="s">
        <v>16</v>
      </c>
      <c r="F44" s="2" t="s">
        <v>17</v>
      </c>
      <c r="G44" s="2" t="s">
        <v>18</v>
      </c>
      <c r="H44" s="2" t="s">
        <v>121</v>
      </c>
      <c r="I44">
        <v>10</v>
      </c>
      <c r="J44" s="3">
        <v>45</v>
      </c>
      <c r="K44" s="3">
        <v>20</v>
      </c>
      <c r="L44" s="3">
        <v>450</v>
      </c>
      <c r="M44" t="s">
        <v>20</v>
      </c>
      <c r="N44" s="3">
        <f>Table1[[#This Row],[Total Sales]]-(Table1[[#This Row],[Quantity]]*Table1[[#This Row],[Unit Cost]])</f>
        <v>250</v>
      </c>
      <c r="O44" s="5">
        <f>IF(Table1[[#This Row],[Total Sales]]=0,0,Table1[[#This Row],[Profit]]/Table1[[#This Row],[Total Sales]])</f>
        <v>0.55555555555555558</v>
      </c>
      <c r="P44" s="3" t="str">
        <f>TEXT(Table1[[#This Row],[Order Date]],"mmmm")</f>
        <v>February</v>
      </c>
      <c r="Q44" s="6" t="str">
        <f t="shared" si="1"/>
        <v>الربع 1</v>
      </c>
    </row>
    <row r="45" spans="1:17" x14ac:dyDescent="0.3">
      <c r="A45" t="s">
        <v>122</v>
      </c>
      <c r="B45" s="1">
        <v>45716</v>
      </c>
      <c r="C45" s="2" t="s">
        <v>34</v>
      </c>
      <c r="D45" s="2" t="s">
        <v>15</v>
      </c>
      <c r="E45" s="2" t="s">
        <v>24</v>
      </c>
      <c r="F45" s="2" t="s">
        <v>25</v>
      </c>
      <c r="G45" s="2" t="s">
        <v>31</v>
      </c>
      <c r="H45" s="2" t="s">
        <v>123</v>
      </c>
      <c r="I45">
        <v>1</v>
      </c>
      <c r="J45" s="3">
        <v>380</v>
      </c>
      <c r="K45" s="3">
        <v>220</v>
      </c>
      <c r="L45" s="3">
        <v>380</v>
      </c>
      <c r="M45" t="s">
        <v>20</v>
      </c>
      <c r="N45" s="3">
        <f>Table1[[#This Row],[Total Sales]]-(Table1[[#This Row],[Quantity]]*Table1[[#This Row],[Unit Cost]])</f>
        <v>160</v>
      </c>
      <c r="O45" s="5">
        <f>IF(Table1[[#This Row],[Total Sales]]=0,0,Table1[[#This Row],[Profit]]/Table1[[#This Row],[Total Sales]])</f>
        <v>0.42105263157894735</v>
      </c>
      <c r="P45" s="3" t="str">
        <f>TEXT(Table1[[#This Row],[Order Date]],"mmmm")</f>
        <v>February</v>
      </c>
      <c r="Q45" s="6" t="str">
        <f t="shared" si="1"/>
        <v>الربع 1</v>
      </c>
    </row>
    <row r="46" spans="1:17" x14ac:dyDescent="0.3">
      <c r="A46" t="s">
        <v>124</v>
      </c>
      <c r="B46" s="1">
        <v>45717</v>
      </c>
      <c r="C46" s="2" t="s">
        <v>37</v>
      </c>
      <c r="D46" s="2" t="s">
        <v>38</v>
      </c>
      <c r="E46" s="2" t="s">
        <v>16</v>
      </c>
      <c r="F46" s="2" t="s">
        <v>17</v>
      </c>
      <c r="G46" s="2" t="s">
        <v>26</v>
      </c>
      <c r="H46" s="2" t="s">
        <v>125</v>
      </c>
      <c r="I46">
        <v>1</v>
      </c>
      <c r="J46" s="3">
        <v>420</v>
      </c>
      <c r="K46" s="3">
        <v>240</v>
      </c>
      <c r="L46" s="3">
        <v>420</v>
      </c>
      <c r="M46" t="s">
        <v>20</v>
      </c>
      <c r="N46" s="3">
        <f>Table1[[#This Row],[Total Sales]]-(Table1[[#This Row],[Quantity]]*Table1[[#This Row],[Unit Cost]])</f>
        <v>180</v>
      </c>
      <c r="O46" s="5">
        <f>IF(Table1[[#This Row],[Total Sales]]=0,0,Table1[[#This Row],[Profit]]/Table1[[#This Row],[Total Sales]])</f>
        <v>0.42857142857142855</v>
      </c>
      <c r="P46" s="3" t="str">
        <f>TEXT(Table1[[#This Row],[Order Date]],"mmmm")</f>
        <v>March</v>
      </c>
      <c r="Q46" s="6" t="str">
        <f t="shared" si="1"/>
        <v>الربع 1</v>
      </c>
    </row>
    <row r="47" spans="1:17" x14ac:dyDescent="0.3">
      <c r="A47" t="s">
        <v>126</v>
      </c>
      <c r="B47" s="1">
        <v>45718</v>
      </c>
      <c r="C47" s="2" t="s">
        <v>42</v>
      </c>
      <c r="D47" s="2" t="s">
        <v>15</v>
      </c>
      <c r="E47" s="2" t="s">
        <v>16</v>
      </c>
      <c r="F47" s="2" t="s">
        <v>25</v>
      </c>
      <c r="G47" s="2" t="s">
        <v>39</v>
      </c>
      <c r="H47" s="2" t="s">
        <v>127</v>
      </c>
      <c r="I47">
        <v>2</v>
      </c>
      <c r="J47" s="3">
        <v>260</v>
      </c>
      <c r="K47" s="3">
        <v>150</v>
      </c>
      <c r="L47" s="3">
        <v>520</v>
      </c>
      <c r="M47" t="s">
        <v>20</v>
      </c>
      <c r="N47" s="3">
        <f>Table1[[#This Row],[Total Sales]]-(Table1[[#This Row],[Quantity]]*Table1[[#This Row],[Unit Cost]])</f>
        <v>220</v>
      </c>
      <c r="O47" s="5">
        <f>IF(Table1[[#This Row],[Total Sales]]=0,0,Table1[[#This Row],[Profit]]/Table1[[#This Row],[Total Sales]])</f>
        <v>0.42307692307692307</v>
      </c>
      <c r="P47" s="3" t="str">
        <f>TEXT(Table1[[#This Row],[Order Date]],"mmmm")</f>
        <v>March</v>
      </c>
      <c r="Q47" s="6" t="str">
        <f t="shared" si="1"/>
        <v>الربع 1</v>
      </c>
    </row>
    <row r="48" spans="1:17" x14ac:dyDescent="0.3">
      <c r="A48" t="s">
        <v>128</v>
      </c>
      <c r="B48" s="1">
        <v>45719</v>
      </c>
      <c r="C48" s="2" t="s">
        <v>45</v>
      </c>
      <c r="D48" s="2" t="s">
        <v>23</v>
      </c>
      <c r="E48" s="2" t="s">
        <v>24</v>
      </c>
      <c r="F48" s="2" t="s">
        <v>17</v>
      </c>
      <c r="G48" s="2" t="s">
        <v>18</v>
      </c>
      <c r="H48" s="2" t="s">
        <v>129</v>
      </c>
      <c r="I48">
        <v>1</v>
      </c>
      <c r="J48" s="3">
        <v>1450</v>
      </c>
      <c r="K48" s="3">
        <v>980</v>
      </c>
      <c r="L48" s="3">
        <v>1450</v>
      </c>
      <c r="M48" t="s">
        <v>20</v>
      </c>
      <c r="N48" s="3">
        <f>Table1[[#This Row],[Total Sales]]-(Table1[[#This Row],[Quantity]]*Table1[[#This Row],[Unit Cost]])</f>
        <v>470</v>
      </c>
      <c r="O48" s="5">
        <f>IF(Table1[[#This Row],[Total Sales]]=0,0,Table1[[#This Row],[Profit]]/Table1[[#This Row],[Total Sales]])</f>
        <v>0.32413793103448274</v>
      </c>
      <c r="P48" s="3" t="str">
        <f>TEXT(Table1[[#This Row],[Order Date]],"mmmm")</f>
        <v>March</v>
      </c>
      <c r="Q48" s="6" t="str">
        <f t="shared" si="1"/>
        <v>الربع 1</v>
      </c>
    </row>
    <row r="49" spans="1:17" x14ac:dyDescent="0.3">
      <c r="A49" t="s">
        <v>130</v>
      </c>
      <c r="B49" s="1">
        <v>45720</v>
      </c>
      <c r="C49" s="2" t="s">
        <v>48</v>
      </c>
      <c r="D49" s="2" t="s">
        <v>30</v>
      </c>
      <c r="E49" s="2" t="s">
        <v>24</v>
      </c>
      <c r="F49" s="2" t="s">
        <v>25</v>
      </c>
      <c r="G49" s="2" t="s">
        <v>31</v>
      </c>
      <c r="H49" s="2" t="s">
        <v>131</v>
      </c>
      <c r="I49">
        <v>5</v>
      </c>
      <c r="J49" s="3">
        <v>85</v>
      </c>
      <c r="K49" s="3">
        <v>45</v>
      </c>
      <c r="L49" s="3">
        <v>425</v>
      </c>
      <c r="M49" t="s">
        <v>20</v>
      </c>
      <c r="N49" s="3">
        <f>Table1[[#This Row],[Total Sales]]-(Table1[[#This Row],[Quantity]]*Table1[[#This Row],[Unit Cost]])</f>
        <v>200</v>
      </c>
      <c r="O49" s="5">
        <f>IF(Table1[[#This Row],[Total Sales]]=0,0,Table1[[#This Row],[Profit]]/Table1[[#This Row],[Total Sales]])</f>
        <v>0.47058823529411764</v>
      </c>
      <c r="P49" s="3" t="str">
        <f>TEXT(Table1[[#This Row],[Order Date]],"mmmm")</f>
        <v>March</v>
      </c>
      <c r="Q49" s="6" t="str">
        <f t="shared" si="1"/>
        <v>الربع 1</v>
      </c>
    </row>
    <row r="50" spans="1:17" x14ac:dyDescent="0.3">
      <c r="A50" t="s">
        <v>132</v>
      </c>
      <c r="B50" s="1">
        <v>45780</v>
      </c>
      <c r="C50" s="2" t="s">
        <v>51</v>
      </c>
      <c r="D50" s="2" t="s">
        <v>15</v>
      </c>
      <c r="E50" s="2" t="s">
        <v>16</v>
      </c>
      <c r="F50" s="2" t="s">
        <v>17</v>
      </c>
      <c r="G50" s="2" t="s">
        <v>26</v>
      </c>
      <c r="H50" s="2" t="s">
        <v>133</v>
      </c>
      <c r="I50">
        <v>6</v>
      </c>
      <c r="J50" s="3">
        <v>95</v>
      </c>
      <c r="K50" s="3">
        <v>45</v>
      </c>
      <c r="L50" s="3">
        <v>570</v>
      </c>
      <c r="M50" t="s">
        <v>20</v>
      </c>
      <c r="N50" s="3">
        <f>Table1[[#This Row],[Total Sales]]-(Table1[[#This Row],[Quantity]]*Table1[[#This Row],[Unit Cost]])</f>
        <v>300</v>
      </c>
      <c r="O50" s="5">
        <f>IF(Table1[[#This Row],[Total Sales]]=0,0,Table1[[#This Row],[Profit]]/Table1[[#This Row],[Total Sales]])</f>
        <v>0.52631578947368418</v>
      </c>
      <c r="P50" s="3" t="str">
        <f>TEXT(Table1[[#This Row],[Order Date]],"mmmm")</f>
        <v>May</v>
      </c>
      <c r="Q50" s="6" t="str">
        <f t="shared" si="1"/>
        <v>الربع 2</v>
      </c>
    </row>
    <row r="51" spans="1:17" x14ac:dyDescent="0.3">
      <c r="A51" t="s">
        <v>134</v>
      </c>
      <c r="B51" s="1">
        <v>45722</v>
      </c>
      <c r="C51" s="2" t="s">
        <v>54</v>
      </c>
      <c r="D51" s="2" t="s">
        <v>23</v>
      </c>
      <c r="E51" s="2" t="s">
        <v>24</v>
      </c>
      <c r="F51" s="2" t="s">
        <v>25</v>
      </c>
      <c r="G51" s="2" t="s">
        <v>39</v>
      </c>
      <c r="H51" s="2" t="s">
        <v>135</v>
      </c>
      <c r="I51">
        <v>3</v>
      </c>
      <c r="J51" s="3">
        <v>120</v>
      </c>
      <c r="K51" s="3">
        <v>65</v>
      </c>
      <c r="L51" s="3">
        <v>360</v>
      </c>
      <c r="M51" t="s">
        <v>20</v>
      </c>
      <c r="N51" s="3">
        <f>Table1[[#This Row],[Total Sales]]-(Table1[[#This Row],[Quantity]]*Table1[[#This Row],[Unit Cost]])</f>
        <v>165</v>
      </c>
      <c r="O51" s="5">
        <f>IF(Table1[[#This Row],[Total Sales]]=0,0,Table1[[#This Row],[Profit]]/Table1[[#This Row],[Total Sales]])</f>
        <v>0.45833333333333331</v>
      </c>
      <c r="P51" s="3" t="str">
        <f>TEXT(Table1[[#This Row],[Order Date]],"mmmm")</f>
        <v>March</v>
      </c>
      <c r="Q51" s="6" t="str">
        <f t="shared" si="1"/>
        <v>الربع 1</v>
      </c>
    </row>
    <row r="52" spans="1:17" x14ac:dyDescent="0.3">
      <c r="A52" t="s">
        <v>136</v>
      </c>
      <c r="B52" s="1">
        <v>45723</v>
      </c>
      <c r="C52" s="2" t="s">
        <v>14</v>
      </c>
      <c r="D52" s="2" t="s">
        <v>15</v>
      </c>
      <c r="E52" s="2" t="s">
        <v>16</v>
      </c>
      <c r="F52" s="2" t="s">
        <v>17</v>
      </c>
      <c r="G52" s="2" t="s">
        <v>18</v>
      </c>
      <c r="H52" s="2" t="s">
        <v>137</v>
      </c>
      <c r="I52">
        <v>2</v>
      </c>
      <c r="J52" s="3">
        <v>299</v>
      </c>
      <c r="K52" s="3">
        <v>150</v>
      </c>
      <c r="L52" s="3">
        <v>598</v>
      </c>
      <c r="M52" t="s">
        <v>20</v>
      </c>
      <c r="N52" s="3">
        <f>Table1[[#This Row],[Total Sales]]-(Table1[[#This Row],[Quantity]]*Table1[[#This Row],[Unit Cost]])</f>
        <v>298</v>
      </c>
      <c r="O52" s="5">
        <f>IF(Table1[[#This Row],[Total Sales]]=0,0,Table1[[#This Row],[Profit]]/Table1[[#This Row],[Total Sales]])</f>
        <v>0.49832775919732442</v>
      </c>
      <c r="P52" s="3" t="str">
        <f>TEXT(Table1[[#This Row],[Order Date]],"mmmm")</f>
        <v>March</v>
      </c>
      <c r="Q52" s="6" t="str">
        <f t="shared" si="1"/>
        <v>الربع 1</v>
      </c>
    </row>
    <row r="53" spans="1:17" x14ac:dyDescent="0.3">
      <c r="A53" t="s">
        <v>138</v>
      </c>
      <c r="B53" s="1">
        <v>45872</v>
      </c>
      <c r="C53" s="2" t="s">
        <v>22</v>
      </c>
      <c r="D53" s="2" t="s">
        <v>23</v>
      </c>
      <c r="E53" s="2" t="s">
        <v>24</v>
      </c>
      <c r="F53" s="2" t="s">
        <v>25</v>
      </c>
      <c r="G53" s="2" t="s">
        <v>31</v>
      </c>
      <c r="H53" s="2" t="s">
        <v>139</v>
      </c>
      <c r="I53">
        <v>1</v>
      </c>
      <c r="J53" s="3">
        <v>320</v>
      </c>
      <c r="K53" s="3">
        <v>180</v>
      </c>
      <c r="L53" s="3">
        <v>320</v>
      </c>
      <c r="M53" t="s">
        <v>20</v>
      </c>
      <c r="N53" s="3">
        <f>Table1[[#This Row],[Total Sales]]-(Table1[[#This Row],[Quantity]]*Table1[[#This Row],[Unit Cost]])</f>
        <v>140</v>
      </c>
      <c r="O53" s="5">
        <f>IF(Table1[[#This Row],[Total Sales]]=0,0,Table1[[#This Row],[Profit]]/Table1[[#This Row],[Total Sales]])</f>
        <v>0.4375</v>
      </c>
      <c r="P53" s="3" t="str">
        <f>TEXT(Table1[[#This Row],[Order Date]],"mmmm")</f>
        <v>August</v>
      </c>
      <c r="Q53" s="6" t="str">
        <f t="shared" si="1"/>
        <v>الربع 3</v>
      </c>
    </row>
    <row r="54" spans="1:17" x14ac:dyDescent="0.3">
      <c r="A54" t="s">
        <v>140</v>
      </c>
      <c r="B54" s="1">
        <v>45725</v>
      </c>
      <c r="C54" s="2" t="s">
        <v>29</v>
      </c>
      <c r="D54" s="2" t="s">
        <v>30</v>
      </c>
      <c r="E54" s="2" t="s">
        <v>16</v>
      </c>
      <c r="F54" s="2" t="s">
        <v>17</v>
      </c>
      <c r="G54" s="2" t="s">
        <v>26</v>
      </c>
      <c r="H54" s="2" t="s">
        <v>141</v>
      </c>
      <c r="I54">
        <v>1</v>
      </c>
      <c r="J54" s="3">
        <v>1200</v>
      </c>
      <c r="K54" s="3">
        <v>750</v>
      </c>
      <c r="L54" s="3">
        <v>1200</v>
      </c>
      <c r="M54" t="s">
        <v>20</v>
      </c>
      <c r="N54" s="3">
        <f>Table1[[#This Row],[Total Sales]]-(Table1[[#This Row],[Quantity]]*Table1[[#This Row],[Unit Cost]])</f>
        <v>450</v>
      </c>
      <c r="O54" s="5">
        <f>IF(Table1[[#This Row],[Total Sales]]=0,0,Table1[[#This Row],[Profit]]/Table1[[#This Row],[Total Sales]])</f>
        <v>0.375</v>
      </c>
      <c r="P54" s="3" t="str">
        <f>TEXT(Table1[[#This Row],[Order Date]],"mmmm")</f>
        <v>March</v>
      </c>
      <c r="Q54" s="6" t="str">
        <f t="shared" si="1"/>
        <v>الربع 1</v>
      </c>
    </row>
    <row r="55" spans="1:17" x14ac:dyDescent="0.3">
      <c r="A55" t="s">
        <v>142</v>
      </c>
      <c r="B55" s="1">
        <v>45933</v>
      </c>
      <c r="C55" s="2" t="s">
        <v>34</v>
      </c>
      <c r="D55" s="2" t="s">
        <v>15</v>
      </c>
      <c r="E55" s="2" t="s">
        <v>24</v>
      </c>
      <c r="F55" s="2" t="s">
        <v>25</v>
      </c>
      <c r="G55" s="2" t="s">
        <v>39</v>
      </c>
      <c r="H55" s="2" t="s">
        <v>143</v>
      </c>
      <c r="I55">
        <v>10</v>
      </c>
      <c r="J55" s="3">
        <v>45</v>
      </c>
      <c r="K55" s="3">
        <v>20</v>
      </c>
      <c r="L55" s="3">
        <v>450</v>
      </c>
      <c r="M55" t="s">
        <v>20</v>
      </c>
      <c r="N55" s="3">
        <f>Table1[[#This Row],[Total Sales]]-(Table1[[#This Row],[Quantity]]*Table1[[#This Row],[Unit Cost]])</f>
        <v>250</v>
      </c>
      <c r="O55" s="5">
        <f>IF(Table1[[#This Row],[Total Sales]]=0,0,Table1[[#This Row],[Profit]]/Table1[[#This Row],[Total Sales]])</f>
        <v>0.55555555555555558</v>
      </c>
      <c r="P55" s="3" t="str">
        <f>TEXT(Table1[[#This Row],[Order Date]],"mmmm")</f>
        <v>October</v>
      </c>
      <c r="Q55" s="6" t="str">
        <f t="shared" si="1"/>
        <v>الربع 4</v>
      </c>
    </row>
    <row r="56" spans="1:17" x14ac:dyDescent="0.3">
      <c r="A56" t="s">
        <v>144</v>
      </c>
      <c r="B56" s="1">
        <v>45727</v>
      </c>
      <c r="C56" s="2" t="s">
        <v>37</v>
      </c>
      <c r="D56" s="2" t="s">
        <v>38</v>
      </c>
      <c r="E56" s="2" t="s">
        <v>16</v>
      </c>
      <c r="F56" s="2" t="s">
        <v>17</v>
      </c>
      <c r="G56" s="2" t="s">
        <v>18</v>
      </c>
      <c r="H56" s="2" t="s">
        <v>145</v>
      </c>
      <c r="I56">
        <v>2</v>
      </c>
      <c r="J56" s="3">
        <v>250</v>
      </c>
      <c r="K56" s="3">
        <v>140</v>
      </c>
      <c r="L56" s="3">
        <v>500</v>
      </c>
      <c r="M56" t="s">
        <v>20</v>
      </c>
      <c r="N56" s="3">
        <f>Table1[[#This Row],[Total Sales]]-(Table1[[#This Row],[Quantity]]*Table1[[#This Row],[Unit Cost]])</f>
        <v>220</v>
      </c>
      <c r="O56" s="5">
        <f>IF(Table1[[#This Row],[Total Sales]]=0,0,Table1[[#This Row],[Profit]]/Table1[[#This Row],[Total Sales]])</f>
        <v>0.44</v>
      </c>
      <c r="P56" s="3" t="str">
        <f>TEXT(Table1[[#This Row],[Order Date]],"mmmm")</f>
        <v>March</v>
      </c>
      <c r="Q56" s="6" t="str">
        <f t="shared" si="1"/>
        <v>الربع 1</v>
      </c>
    </row>
    <row r="57" spans="1:17" x14ac:dyDescent="0.3">
      <c r="A57" t="s">
        <v>146</v>
      </c>
      <c r="B57" s="1">
        <v>45994</v>
      </c>
      <c r="C57" s="2" t="s">
        <v>42</v>
      </c>
      <c r="D57" s="2" t="s">
        <v>15</v>
      </c>
      <c r="E57" s="2" t="s">
        <v>16</v>
      </c>
      <c r="F57" s="2" t="s">
        <v>25</v>
      </c>
      <c r="G57" s="2" t="s">
        <v>31</v>
      </c>
      <c r="H57" s="2" t="s">
        <v>147</v>
      </c>
      <c r="I57">
        <v>2</v>
      </c>
      <c r="J57" s="3">
        <v>185</v>
      </c>
      <c r="K57" s="3">
        <v>100</v>
      </c>
      <c r="L57" s="3">
        <v>370</v>
      </c>
      <c r="M57" t="s">
        <v>20</v>
      </c>
      <c r="N57" s="3">
        <f>Table1[[#This Row],[Total Sales]]-(Table1[[#This Row],[Quantity]]*Table1[[#This Row],[Unit Cost]])</f>
        <v>170</v>
      </c>
      <c r="O57" s="5">
        <f>IF(Table1[[#This Row],[Total Sales]]=0,0,Table1[[#This Row],[Profit]]/Table1[[#This Row],[Total Sales]])</f>
        <v>0.45945945945945948</v>
      </c>
      <c r="P57" s="3" t="str">
        <f>TEXT(Table1[[#This Row],[Order Date]],"mmmm")</f>
        <v>December</v>
      </c>
      <c r="Q57" s="6" t="str">
        <f t="shared" si="1"/>
        <v>الربع 4</v>
      </c>
    </row>
    <row r="58" spans="1:17" x14ac:dyDescent="0.3">
      <c r="A58" t="s">
        <v>148</v>
      </c>
      <c r="B58" s="1">
        <v>45729</v>
      </c>
      <c r="C58" s="2" t="s">
        <v>45</v>
      </c>
      <c r="D58" s="2" t="s">
        <v>23</v>
      </c>
      <c r="E58" s="2" t="s">
        <v>24</v>
      </c>
      <c r="F58" s="2" t="s">
        <v>17</v>
      </c>
      <c r="G58" s="2" t="s">
        <v>26</v>
      </c>
      <c r="H58" s="2" t="s">
        <v>43</v>
      </c>
      <c r="I58">
        <v>1</v>
      </c>
      <c r="J58" s="3">
        <v>850</v>
      </c>
      <c r="K58" s="3">
        <v>480</v>
      </c>
      <c r="L58" s="3">
        <v>850</v>
      </c>
      <c r="M58" t="s">
        <v>20</v>
      </c>
      <c r="N58" s="3">
        <f>Table1[[#This Row],[Total Sales]]-(Table1[[#This Row],[Quantity]]*Table1[[#This Row],[Unit Cost]])</f>
        <v>370</v>
      </c>
      <c r="O58" s="5">
        <f>IF(Table1[[#This Row],[Total Sales]]=0,0,Table1[[#This Row],[Profit]]/Table1[[#This Row],[Total Sales]])</f>
        <v>0.43529411764705883</v>
      </c>
      <c r="P58" s="3" t="str">
        <f>TEXT(Table1[[#This Row],[Order Date]],"mmmm")</f>
        <v>March</v>
      </c>
      <c r="Q58" s="6" t="str">
        <f t="shared" si="1"/>
        <v>الربع 1</v>
      </c>
    </row>
    <row r="59" spans="1:17" x14ac:dyDescent="0.3">
      <c r="A59" t="s">
        <v>149</v>
      </c>
      <c r="B59" s="1">
        <v>45730</v>
      </c>
      <c r="C59" s="2" t="s">
        <v>48</v>
      </c>
      <c r="D59" s="2" t="s">
        <v>30</v>
      </c>
      <c r="E59" s="2" t="s">
        <v>24</v>
      </c>
      <c r="F59" s="2" t="s">
        <v>25</v>
      </c>
      <c r="G59" s="2" t="s">
        <v>39</v>
      </c>
      <c r="H59" s="2" t="s">
        <v>150</v>
      </c>
      <c r="I59">
        <v>1</v>
      </c>
      <c r="J59" s="3">
        <v>1100</v>
      </c>
      <c r="K59" s="3">
        <v>720</v>
      </c>
      <c r="L59" s="3">
        <v>1100</v>
      </c>
      <c r="M59" t="s">
        <v>20</v>
      </c>
      <c r="N59" s="3">
        <f>Table1[[#This Row],[Total Sales]]-(Table1[[#This Row],[Quantity]]*Table1[[#This Row],[Unit Cost]])</f>
        <v>380</v>
      </c>
      <c r="O59" s="5">
        <f>IF(Table1[[#This Row],[Total Sales]]=0,0,Table1[[#This Row],[Profit]]/Table1[[#This Row],[Total Sales]])</f>
        <v>0.34545454545454546</v>
      </c>
      <c r="P59" s="3" t="str">
        <f>TEXT(Table1[[#This Row],[Order Date]],"mmmm")</f>
        <v>March</v>
      </c>
      <c r="Q59" s="6" t="str">
        <f t="shared" si="1"/>
        <v>الربع 1</v>
      </c>
    </row>
    <row r="60" spans="1:17" x14ac:dyDescent="0.3">
      <c r="A60" t="s">
        <v>151</v>
      </c>
      <c r="B60" s="1">
        <v>45731</v>
      </c>
      <c r="C60" s="2" t="s">
        <v>51</v>
      </c>
      <c r="D60" s="2" t="s">
        <v>15</v>
      </c>
      <c r="E60" s="2" t="s">
        <v>16</v>
      </c>
      <c r="F60" s="2" t="s">
        <v>17</v>
      </c>
      <c r="G60" s="2" t="s">
        <v>18</v>
      </c>
      <c r="H60" s="2" t="s">
        <v>152</v>
      </c>
      <c r="I60">
        <v>3</v>
      </c>
      <c r="J60" s="3">
        <v>150</v>
      </c>
      <c r="K60" s="3">
        <v>80</v>
      </c>
      <c r="L60" s="3">
        <v>450</v>
      </c>
      <c r="M60" t="s">
        <v>20</v>
      </c>
      <c r="N60" s="3">
        <f>Table1[[#This Row],[Total Sales]]-(Table1[[#This Row],[Quantity]]*Table1[[#This Row],[Unit Cost]])</f>
        <v>210</v>
      </c>
      <c r="O60" s="5">
        <f>IF(Table1[[#This Row],[Total Sales]]=0,0,Table1[[#This Row],[Profit]]/Table1[[#This Row],[Total Sales]])</f>
        <v>0.46666666666666667</v>
      </c>
      <c r="P60" s="3" t="str">
        <f>TEXT(Table1[[#This Row],[Order Date]],"mmmm")</f>
        <v>March</v>
      </c>
      <c r="Q60" s="6" t="str">
        <f t="shared" si="1"/>
        <v>الربع 1</v>
      </c>
    </row>
    <row r="61" spans="1:17" x14ac:dyDescent="0.3">
      <c r="A61" t="s">
        <v>153</v>
      </c>
      <c r="B61" s="1">
        <v>45732</v>
      </c>
      <c r="C61" s="2" t="s">
        <v>54</v>
      </c>
      <c r="D61" s="2" t="s">
        <v>23</v>
      </c>
      <c r="E61" s="2" t="s">
        <v>24</v>
      </c>
      <c r="F61" s="2" t="s">
        <v>25</v>
      </c>
      <c r="G61" s="2" t="s">
        <v>31</v>
      </c>
      <c r="H61" s="2" t="s">
        <v>154</v>
      </c>
      <c r="I61">
        <v>1</v>
      </c>
      <c r="J61" s="3">
        <v>3500</v>
      </c>
      <c r="K61" s="3">
        <v>2600</v>
      </c>
      <c r="L61" s="3">
        <v>3500</v>
      </c>
      <c r="M61" t="s">
        <v>20</v>
      </c>
      <c r="N61" s="3">
        <f>Table1[[#This Row],[Total Sales]]-(Table1[[#This Row],[Quantity]]*Table1[[#This Row],[Unit Cost]])</f>
        <v>900</v>
      </c>
      <c r="O61" s="5">
        <f>IF(Table1[[#This Row],[Total Sales]]=0,0,Table1[[#This Row],[Profit]]/Table1[[#This Row],[Total Sales]])</f>
        <v>0.25714285714285712</v>
      </c>
      <c r="P61" s="3" t="str">
        <f>TEXT(Table1[[#This Row],[Order Date]],"mmmm")</f>
        <v>March</v>
      </c>
      <c r="Q61" s="6" t="str">
        <f t="shared" si="1"/>
        <v>الربع 1</v>
      </c>
    </row>
    <row r="62" spans="1:17" x14ac:dyDescent="0.3">
      <c r="A62" t="s">
        <v>155</v>
      </c>
      <c r="B62" s="1">
        <v>45733</v>
      </c>
      <c r="C62" s="2" t="s">
        <v>14</v>
      </c>
      <c r="D62" s="2" t="s">
        <v>15</v>
      </c>
      <c r="E62" s="2" t="s">
        <v>16</v>
      </c>
      <c r="F62" s="2" t="s">
        <v>17</v>
      </c>
      <c r="G62" s="2" t="s">
        <v>26</v>
      </c>
      <c r="H62" s="2" t="s">
        <v>156</v>
      </c>
      <c r="I62">
        <v>1</v>
      </c>
      <c r="J62" s="3">
        <v>550</v>
      </c>
      <c r="K62" s="3">
        <v>320</v>
      </c>
      <c r="L62" s="3">
        <v>550</v>
      </c>
      <c r="M62" t="s">
        <v>20</v>
      </c>
      <c r="N62" s="3">
        <f>Table1[[#This Row],[Total Sales]]-(Table1[[#This Row],[Quantity]]*Table1[[#This Row],[Unit Cost]])</f>
        <v>230</v>
      </c>
      <c r="O62" s="5">
        <f>IF(Table1[[#This Row],[Total Sales]]=0,0,Table1[[#This Row],[Profit]]/Table1[[#This Row],[Total Sales]])</f>
        <v>0.41818181818181815</v>
      </c>
      <c r="P62" s="3" t="str">
        <f>TEXT(Table1[[#This Row],[Order Date]],"mmmm")</f>
        <v>March</v>
      </c>
      <c r="Q62" s="6" t="str">
        <f t="shared" si="1"/>
        <v>الربع 1</v>
      </c>
    </row>
    <row r="63" spans="1:17" x14ac:dyDescent="0.3">
      <c r="A63" t="s">
        <v>157</v>
      </c>
      <c r="B63" s="1">
        <v>45734</v>
      </c>
      <c r="C63" s="2" t="s">
        <v>22</v>
      </c>
      <c r="D63" s="2" t="s">
        <v>23</v>
      </c>
      <c r="E63" s="2" t="s">
        <v>377</v>
      </c>
      <c r="F63" s="2" t="s">
        <v>25</v>
      </c>
      <c r="G63" s="2" t="s">
        <v>39</v>
      </c>
      <c r="H63" s="2" t="s">
        <v>158</v>
      </c>
      <c r="I63">
        <v>1</v>
      </c>
      <c r="J63" s="3">
        <v>1900</v>
      </c>
      <c r="K63" s="3">
        <v>1250</v>
      </c>
      <c r="L63" s="3">
        <v>1900</v>
      </c>
      <c r="M63" t="s">
        <v>20</v>
      </c>
      <c r="N63" s="3">
        <f>Table1[[#This Row],[Total Sales]]-(Table1[[#This Row],[Quantity]]*Table1[[#This Row],[Unit Cost]])</f>
        <v>650</v>
      </c>
      <c r="O63" s="5">
        <f>IF(Table1[[#This Row],[Total Sales]]=0,0,Table1[[#This Row],[Profit]]/Table1[[#This Row],[Total Sales]])</f>
        <v>0.34210526315789475</v>
      </c>
      <c r="P63" s="3" t="str">
        <f>TEXT(Table1[[#This Row],[Order Date]],"mmmm")</f>
        <v>March</v>
      </c>
      <c r="Q63" s="6" t="str">
        <f t="shared" si="1"/>
        <v>الربع 1</v>
      </c>
    </row>
    <row r="64" spans="1:17" x14ac:dyDescent="0.3">
      <c r="A64" t="s">
        <v>159</v>
      </c>
      <c r="B64" s="1">
        <v>45735</v>
      </c>
      <c r="C64" s="2" t="s">
        <v>29</v>
      </c>
      <c r="D64" s="2" t="s">
        <v>30</v>
      </c>
      <c r="E64" s="2" t="s">
        <v>16</v>
      </c>
      <c r="F64" s="2" t="s">
        <v>17</v>
      </c>
      <c r="G64" s="2" t="s">
        <v>18</v>
      </c>
      <c r="H64" s="2" t="s">
        <v>160</v>
      </c>
      <c r="I64">
        <v>2</v>
      </c>
      <c r="J64" s="3">
        <v>850</v>
      </c>
      <c r="K64" s="3">
        <v>520</v>
      </c>
      <c r="L64" s="3">
        <v>1700</v>
      </c>
      <c r="M64" t="s">
        <v>20</v>
      </c>
      <c r="N64" s="3">
        <f>Table1[[#This Row],[Total Sales]]-(Table1[[#This Row],[Quantity]]*Table1[[#This Row],[Unit Cost]])</f>
        <v>660</v>
      </c>
      <c r="O64" s="5">
        <f>IF(Table1[[#This Row],[Total Sales]]=0,0,Table1[[#This Row],[Profit]]/Table1[[#This Row],[Total Sales]])</f>
        <v>0.38823529411764707</v>
      </c>
      <c r="P64" s="3" t="str">
        <f>TEXT(Table1[[#This Row],[Order Date]],"mmmm")</f>
        <v>March</v>
      </c>
      <c r="Q64" s="6" t="str">
        <f t="shared" si="1"/>
        <v>الربع 1</v>
      </c>
    </row>
    <row r="65" spans="1:17" x14ac:dyDescent="0.3">
      <c r="A65" t="s">
        <v>161</v>
      </c>
      <c r="B65" s="1">
        <v>45736</v>
      </c>
      <c r="C65" s="2" t="s">
        <v>34</v>
      </c>
      <c r="D65" s="2" t="s">
        <v>15</v>
      </c>
      <c r="E65" s="2" t="s">
        <v>24</v>
      </c>
      <c r="F65" s="2" t="s">
        <v>25</v>
      </c>
      <c r="G65" s="2" t="s">
        <v>31</v>
      </c>
      <c r="H65" s="2" t="s">
        <v>162</v>
      </c>
      <c r="I65">
        <v>1</v>
      </c>
      <c r="J65" s="3">
        <v>4200</v>
      </c>
      <c r="K65" s="3">
        <v>3100</v>
      </c>
      <c r="L65" s="3">
        <v>4200</v>
      </c>
      <c r="M65" t="s">
        <v>20</v>
      </c>
      <c r="N65" s="3">
        <f>Table1[[#This Row],[Total Sales]]-(Table1[[#This Row],[Quantity]]*Table1[[#This Row],[Unit Cost]])</f>
        <v>1100</v>
      </c>
      <c r="O65" s="5">
        <f>IF(Table1[[#This Row],[Total Sales]]=0,0,Table1[[#This Row],[Profit]]/Table1[[#This Row],[Total Sales]])</f>
        <v>0.26190476190476192</v>
      </c>
      <c r="P65" s="3" t="str">
        <f>TEXT(Table1[[#This Row],[Order Date]],"mmmm")</f>
        <v>March</v>
      </c>
      <c r="Q65" s="6" t="str">
        <f t="shared" si="1"/>
        <v>الربع 1</v>
      </c>
    </row>
    <row r="66" spans="1:17" x14ac:dyDescent="0.3">
      <c r="A66" t="s">
        <v>163</v>
      </c>
      <c r="B66" s="1">
        <v>45737</v>
      </c>
      <c r="C66" s="2" t="s">
        <v>37</v>
      </c>
      <c r="D66" s="2" t="s">
        <v>38</v>
      </c>
      <c r="E66" s="2" t="s">
        <v>16</v>
      </c>
      <c r="F66" s="2" t="s">
        <v>17</v>
      </c>
      <c r="G66" s="2" t="s">
        <v>26</v>
      </c>
      <c r="H66" s="2" t="s">
        <v>164</v>
      </c>
      <c r="I66">
        <v>1</v>
      </c>
      <c r="J66" s="3">
        <v>980</v>
      </c>
      <c r="K66" s="3">
        <v>580</v>
      </c>
      <c r="L66" s="3">
        <v>980</v>
      </c>
      <c r="M66" t="s">
        <v>20</v>
      </c>
      <c r="N66" s="3">
        <f>Table1[[#This Row],[Total Sales]]-(Table1[[#This Row],[Quantity]]*Table1[[#This Row],[Unit Cost]])</f>
        <v>400</v>
      </c>
      <c r="O66" s="5">
        <f>IF(Table1[[#This Row],[Total Sales]]=0,0,Table1[[#This Row],[Profit]]/Table1[[#This Row],[Total Sales]])</f>
        <v>0.40816326530612246</v>
      </c>
      <c r="P66" s="3" t="str">
        <f>TEXT(Table1[[#This Row],[Order Date]],"mmmm")</f>
        <v>March</v>
      </c>
      <c r="Q66" s="6" t="str">
        <f t="shared" ref="Q66:Q97" si="2">"الربع "&amp;ROUNDUP(MONTH(B66)/3,0)</f>
        <v>الربع 1</v>
      </c>
    </row>
    <row r="67" spans="1:17" x14ac:dyDescent="0.3">
      <c r="A67" t="s">
        <v>165</v>
      </c>
      <c r="B67" s="1">
        <v>45738</v>
      </c>
      <c r="C67" s="2" t="s">
        <v>42</v>
      </c>
      <c r="D67" s="2" t="s">
        <v>15</v>
      </c>
      <c r="E67" s="2" t="s">
        <v>16</v>
      </c>
      <c r="F67" s="2" t="s">
        <v>25</v>
      </c>
      <c r="G67" s="2" t="s">
        <v>39</v>
      </c>
      <c r="H67" s="2" t="s">
        <v>166</v>
      </c>
      <c r="I67">
        <v>2</v>
      </c>
      <c r="J67" s="3">
        <v>340</v>
      </c>
      <c r="K67" s="3">
        <v>190</v>
      </c>
      <c r="L67" s="3">
        <v>680</v>
      </c>
      <c r="M67" t="s">
        <v>20</v>
      </c>
      <c r="N67" s="3">
        <f>Table1[[#This Row],[Total Sales]]-(Table1[[#This Row],[Quantity]]*Table1[[#This Row],[Unit Cost]])</f>
        <v>300</v>
      </c>
      <c r="O67" s="5">
        <f>IF(Table1[[#This Row],[Total Sales]]=0,0,Table1[[#This Row],[Profit]]/Table1[[#This Row],[Total Sales]])</f>
        <v>0.44117647058823528</v>
      </c>
      <c r="P67" s="3" t="str">
        <f>TEXT(Table1[[#This Row],[Order Date]],"mmmm")</f>
        <v>March</v>
      </c>
      <c r="Q67" s="6" t="str">
        <f t="shared" si="2"/>
        <v>الربع 1</v>
      </c>
    </row>
    <row r="68" spans="1:17" x14ac:dyDescent="0.3">
      <c r="A68" t="s">
        <v>167</v>
      </c>
      <c r="B68" s="1">
        <v>45739</v>
      </c>
      <c r="C68" s="2" t="s">
        <v>45</v>
      </c>
      <c r="D68" s="2" t="s">
        <v>23</v>
      </c>
      <c r="E68" s="2" t="s">
        <v>24</v>
      </c>
      <c r="F68" s="2" t="s">
        <v>17</v>
      </c>
      <c r="G68" s="2" t="s">
        <v>18</v>
      </c>
      <c r="H68" s="2" t="s">
        <v>168</v>
      </c>
      <c r="I68">
        <v>1</v>
      </c>
      <c r="J68" s="3">
        <v>2800</v>
      </c>
      <c r="K68" s="3">
        <v>2000</v>
      </c>
      <c r="L68" s="3">
        <v>2800</v>
      </c>
      <c r="M68" t="s">
        <v>20</v>
      </c>
      <c r="N68" s="3">
        <f>Table1[[#This Row],[Total Sales]]-(Table1[[#This Row],[Quantity]]*Table1[[#This Row],[Unit Cost]])</f>
        <v>800</v>
      </c>
      <c r="O68" s="5">
        <f>IF(Table1[[#This Row],[Total Sales]]=0,0,Table1[[#This Row],[Profit]]/Table1[[#This Row],[Total Sales]])</f>
        <v>0.2857142857142857</v>
      </c>
      <c r="P68" s="3" t="str">
        <f>TEXT(Table1[[#This Row],[Order Date]],"mmmm")</f>
        <v>March</v>
      </c>
      <c r="Q68" s="6" t="str">
        <f t="shared" si="2"/>
        <v>الربع 1</v>
      </c>
    </row>
    <row r="69" spans="1:17" x14ac:dyDescent="0.3">
      <c r="A69" t="s">
        <v>169</v>
      </c>
      <c r="B69" s="1">
        <v>45740</v>
      </c>
      <c r="C69" s="2" t="s">
        <v>48</v>
      </c>
      <c r="D69" s="2" t="s">
        <v>30</v>
      </c>
      <c r="E69" s="2" t="s">
        <v>24</v>
      </c>
      <c r="F69" s="2" t="s">
        <v>25</v>
      </c>
      <c r="G69" s="2" t="s">
        <v>31</v>
      </c>
      <c r="H69" s="2" t="s">
        <v>170</v>
      </c>
      <c r="I69">
        <v>1</v>
      </c>
      <c r="J69" s="3">
        <v>3200</v>
      </c>
      <c r="K69" s="3">
        <v>2450</v>
      </c>
      <c r="L69" s="3">
        <v>3200</v>
      </c>
      <c r="M69" t="s">
        <v>20</v>
      </c>
      <c r="N69" s="3">
        <f>Table1[[#This Row],[Total Sales]]-(Table1[[#This Row],[Quantity]]*Table1[[#This Row],[Unit Cost]])</f>
        <v>750</v>
      </c>
      <c r="O69" s="5">
        <f>IF(Table1[[#This Row],[Total Sales]]=0,0,Table1[[#This Row],[Profit]]/Table1[[#This Row],[Total Sales]])</f>
        <v>0.234375</v>
      </c>
      <c r="P69" s="3" t="str">
        <f>TEXT(Table1[[#This Row],[Order Date]],"mmmm")</f>
        <v>March</v>
      </c>
      <c r="Q69" s="6" t="str">
        <f t="shared" si="2"/>
        <v>الربع 1</v>
      </c>
    </row>
    <row r="70" spans="1:17" x14ac:dyDescent="0.3">
      <c r="A70" t="s">
        <v>171</v>
      </c>
      <c r="B70" s="1">
        <v>45741</v>
      </c>
      <c r="C70" s="2" t="s">
        <v>51</v>
      </c>
      <c r="D70" s="2" t="s">
        <v>15</v>
      </c>
      <c r="E70" s="2" t="s">
        <v>16</v>
      </c>
      <c r="F70" s="2" t="s">
        <v>17</v>
      </c>
      <c r="G70" s="2" t="s">
        <v>26</v>
      </c>
      <c r="H70" s="2" t="s">
        <v>61</v>
      </c>
      <c r="I70">
        <v>5</v>
      </c>
      <c r="J70" s="3">
        <v>90</v>
      </c>
      <c r="K70" s="3">
        <v>45</v>
      </c>
      <c r="L70" s="3">
        <v>450</v>
      </c>
      <c r="M70" t="s">
        <v>20</v>
      </c>
      <c r="N70" s="3">
        <f>Table1[[#This Row],[Total Sales]]-(Table1[[#This Row],[Quantity]]*Table1[[#This Row],[Unit Cost]])</f>
        <v>225</v>
      </c>
      <c r="O70" s="5">
        <f>IF(Table1[[#This Row],[Total Sales]]=0,0,Table1[[#This Row],[Profit]]/Table1[[#This Row],[Total Sales]])</f>
        <v>0.5</v>
      </c>
      <c r="P70" s="3" t="str">
        <f>TEXT(Table1[[#This Row],[Order Date]],"mmmm")</f>
        <v>March</v>
      </c>
      <c r="Q70" s="6" t="str">
        <f t="shared" si="2"/>
        <v>الربع 1</v>
      </c>
    </row>
    <row r="71" spans="1:17" x14ac:dyDescent="0.3">
      <c r="A71" t="s">
        <v>172</v>
      </c>
      <c r="B71" s="1">
        <v>45742</v>
      </c>
      <c r="C71" s="2" t="s">
        <v>54</v>
      </c>
      <c r="D71" s="2" t="s">
        <v>23</v>
      </c>
      <c r="E71" s="2" t="s">
        <v>24</v>
      </c>
      <c r="F71" s="2" t="s">
        <v>25</v>
      </c>
      <c r="G71" s="2" t="s">
        <v>39</v>
      </c>
      <c r="H71" s="2" t="s">
        <v>173</v>
      </c>
      <c r="I71">
        <v>1</v>
      </c>
      <c r="J71" s="3">
        <v>780</v>
      </c>
      <c r="K71" s="3">
        <v>480</v>
      </c>
      <c r="L71" s="3">
        <v>780</v>
      </c>
      <c r="M71" t="s">
        <v>20</v>
      </c>
      <c r="N71" s="3">
        <f>Table1[[#This Row],[Total Sales]]-(Table1[[#This Row],[Quantity]]*Table1[[#This Row],[Unit Cost]])</f>
        <v>300</v>
      </c>
      <c r="O71" s="5">
        <f>IF(Table1[[#This Row],[Total Sales]]=0,0,Table1[[#This Row],[Profit]]/Table1[[#This Row],[Total Sales]])</f>
        <v>0.38461538461538464</v>
      </c>
      <c r="P71" s="3" t="str">
        <f>TEXT(Table1[[#This Row],[Order Date]],"mmmm")</f>
        <v>March</v>
      </c>
      <c r="Q71" s="6" t="str">
        <f t="shared" si="2"/>
        <v>الربع 1</v>
      </c>
    </row>
    <row r="72" spans="1:17" x14ac:dyDescent="0.3">
      <c r="A72" t="s">
        <v>174</v>
      </c>
      <c r="B72" s="1">
        <v>45743</v>
      </c>
      <c r="C72" s="2" t="s">
        <v>14</v>
      </c>
      <c r="D72" s="2" t="s">
        <v>15</v>
      </c>
      <c r="E72" s="2" t="s">
        <v>16</v>
      </c>
      <c r="F72" s="2" t="s">
        <v>17</v>
      </c>
      <c r="G72" s="2" t="s">
        <v>18</v>
      </c>
      <c r="H72" s="2" t="s">
        <v>175</v>
      </c>
      <c r="I72">
        <v>1</v>
      </c>
      <c r="J72" s="3">
        <v>3800</v>
      </c>
      <c r="K72" s="3">
        <v>2900</v>
      </c>
      <c r="L72" s="3">
        <v>3800</v>
      </c>
      <c r="M72" t="s">
        <v>20</v>
      </c>
      <c r="N72" s="3">
        <f>Table1[[#This Row],[Total Sales]]-(Table1[[#This Row],[Quantity]]*Table1[[#This Row],[Unit Cost]])</f>
        <v>900</v>
      </c>
      <c r="O72" s="5">
        <f>IF(Table1[[#This Row],[Total Sales]]=0,0,Table1[[#This Row],[Profit]]/Table1[[#This Row],[Total Sales]])</f>
        <v>0.23684210526315788</v>
      </c>
      <c r="P72" s="3" t="str">
        <f>TEXT(Table1[[#This Row],[Order Date]],"mmmm")</f>
        <v>March</v>
      </c>
      <c r="Q72" s="6" t="str">
        <f t="shared" si="2"/>
        <v>الربع 1</v>
      </c>
    </row>
    <row r="73" spans="1:17" x14ac:dyDescent="0.3">
      <c r="A73" t="s">
        <v>176</v>
      </c>
      <c r="B73" s="1">
        <v>45744</v>
      </c>
      <c r="C73" s="2" t="s">
        <v>22</v>
      </c>
      <c r="D73" s="2" t="s">
        <v>23</v>
      </c>
      <c r="E73" s="2" t="s">
        <v>24</v>
      </c>
      <c r="F73" s="2" t="s">
        <v>25</v>
      </c>
      <c r="G73" s="2" t="s">
        <v>31</v>
      </c>
      <c r="H73" s="2" t="s">
        <v>32</v>
      </c>
      <c r="I73">
        <v>1</v>
      </c>
      <c r="J73" s="3">
        <v>420</v>
      </c>
      <c r="K73" s="3">
        <v>250</v>
      </c>
      <c r="L73" s="3">
        <v>420</v>
      </c>
      <c r="M73" t="s">
        <v>20</v>
      </c>
      <c r="N73" s="3">
        <f>Table1[[#This Row],[Total Sales]]-(Table1[[#This Row],[Quantity]]*Table1[[#This Row],[Unit Cost]])</f>
        <v>170</v>
      </c>
      <c r="O73" s="5">
        <f>IF(Table1[[#This Row],[Total Sales]]=0,0,Table1[[#This Row],[Profit]]/Table1[[#This Row],[Total Sales]])</f>
        <v>0.40476190476190477</v>
      </c>
      <c r="P73" s="3" t="str">
        <f>TEXT(Table1[[#This Row],[Order Date]],"mmmm")</f>
        <v>March</v>
      </c>
      <c r="Q73" s="6" t="str">
        <f t="shared" si="2"/>
        <v>الربع 1</v>
      </c>
    </row>
    <row r="74" spans="1:17" x14ac:dyDescent="0.3">
      <c r="A74" t="s">
        <v>177</v>
      </c>
      <c r="B74" s="1">
        <v>45745</v>
      </c>
      <c r="C74" s="2" t="s">
        <v>29</v>
      </c>
      <c r="D74" s="2" t="s">
        <v>30</v>
      </c>
      <c r="E74" s="2" t="s">
        <v>16</v>
      </c>
      <c r="F74" s="2" t="s">
        <v>17</v>
      </c>
      <c r="G74" s="2" t="s">
        <v>26</v>
      </c>
      <c r="H74" s="2" t="s">
        <v>178</v>
      </c>
      <c r="I74">
        <v>1</v>
      </c>
      <c r="J74" s="3">
        <v>650</v>
      </c>
      <c r="K74" s="3">
        <v>380</v>
      </c>
      <c r="L74" s="3">
        <v>650</v>
      </c>
      <c r="M74" t="s">
        <v>20</v>
      </c>
      <c r="N74" s="3">
        <f>Table1[[#This Row],[Total Sales]]-(Table1[[#This Row],[Quantity]]*Table1[[#This Row],[Unit Cost]])</f>
        <v>270</v>
      </c>
      <c r="O74" s="5">
        <f>IF(Table1[[#This Row],[Total Sales]]=0,0,Table1[[#This Row],[Profit]]/Table1[[#This Row],[Total Sales]])</f>
        <v>0.41538461538461541</v>
      </c>
      <c r="P74" s="3" t="str">
        <f>TEXT(Table1[[#This Row],[Order Date]],"mmmm")</f>
        <v>March</v>
      </c>
      <c r="Q74" s="6" t="str">
        <f t="shared" si="2"/>
        <v>الربع 1</v>
      </c>
    </row>
    <row r="75" spans="1:17" x14ac:dyDescent="0.3">
      <c r="A75" t="s">
        <v>179</v>
      </c>
      <c r="B75" s="1">
        <v>45746</v>
      </c>
      <c r="C75" s="2" t="s">
        <v>34</v>
      </c>
      <c r="D75" s="2" t="s">
        <v>15</v>
      </c>
      <c r="E75" s="2" t="s">
        <v>24</v>
      </c>
      <c r="F75" s="2" t="s">
        <v>25</v>
      </c>
      <c r="G75" s="2" t="s">
        <v>39</v>
      </c>
      <c r="H75" s="2" t="s">
        <v>180</v>
      </c>
      <c r="I75">
        <v>2</v>
      </c>
      <c r="J75" s="3">
        <v>320</v>
      </c>
      <c r="K75" s="3">
        <v>180</v>
      </c>
      <c r="L75" s="3">
        <v>640</v>
      </c>
      <c r="M75" t="s">
        <v>20</v>
      </c>
      <c r="N75" s="3">
        <f>Table1[[#This Row],[Total Sales]]-(Table1[[#This Row],[Quantity]]*Table1[[#This Row],[Unit Cost]])</f>
        <v>280</v>
      </c>
      <c r="O75" s="5">
        <f>IF(Table1[[#This Row],[Total Sales]]=0,0,Table1[[#This Row],[Profit]]/Table1[[#This Row],[Total Sales]])</f>
        <v>0.4375</v>
      </c>
      <c r="P75" s="3" t="str">
        <f>TEXT(Table1[[#This Row],[Order Date]],"mmmm")</f>
        <v>March</v>
      </c>
      <c r="Q75" s="6" t="str">
        <f t="shared" si="2"/>
        <v>الربع 1</v>
      </c>
    </row>
    <row r="76" spans="1:17" x14ac:dyDescent="0.3">
      <c r="A76" t="s">
        <v>181</v>
      </c>
      <c r="B76" s="1">
        <v>45747</v>
      </c>
      <c r="C76" s="2" t="s">
        <v>37</v>
      </c>
      <c r="D76" s="2" t="s">
        <v>38</v>
      </c>
      <c r="E76" s="2" t="s">
        <v>16</v>
      </c>
      <c r="F76" s="2" t="s">
        <v>17</v>
      </c>
      <c r="G76" s="2" t="s">
        <v>18</v>
      </c>
      <c r="H76" s="2" t="s">
        <v>65</v>
      </c>
      <c r="I76">
        <v>1</v>
      </c>
      <c r="J76" s="3">
        <v>1350</v>
      </c>
      <c r="K76" s="3">
        <v>950</v>
      </c>
      <c r="L76" s="3">
        <v>1350</v>
      </c>
      <c r="M76" t="s">
        <v>20</v>
      </c>
      <c r="N76" s="3">
        <f>Table1[[#This Row],[Total Sales]]-(Table1[[#This Row],[Quantity]]*Table1[[#This Row],[Unit Cost]])</f>
        <v>400</v>
      </c>
      <c r="O76" s="5">
        <f>IF(Table1[[#This Row],[Total Sales]]=0,0,Table1[[#This Row],[Profit]]/Table1[[#This Row],[Total Sales]])</f>
        <v>0.29629629629629628</v>
      </c>
      <c r="P76" s="3" t="str">
        <f>TEXT(Table1[[#This Row],[Order Date]],"mmmm")</f>
        <v>March</v>
      </c>
      <c r="Q76" s="6" t="str">
        <f t="shared" si="2"/>
        <v>الربع 1</v>
      </c>
    </row>
    <row r="77" spans="1:17" x14ac:dyDescent="0.3">
      <c r="A77" t="s">
        <v>182</v>
      </c>
      <c r="B77" s="1">
        <v>45748</v>
      </c>
      <c r="C77" s="2" t="s">
        <v>42</v>
      </c>
      <c r="D77" s="2" t="s">
        <v>15</v>
      </c>
      <c r="E77" s="2" t="s">
        <v>16</v>
      </c>
      <c r="F77" s="2" t="s">
        <v>25</v>
      </c>
      <c r="G77" s="2" t="s">
        <v>31</v>
      </c>
      <c r="H77" s="2" t="s">
        <v>49</v>
      </c>
      <c r="I77">
        <v>3</v>
      </c>
      <c r="J77" s="3">
        <v>290</v>
      </c>
      <c r="K77" s="3">
        <v>170</v>
      </c>
      <c r="L77" s="3">
        <v>870</v>
      </c>
      <c r="M77" t="s">
        <v>20</v>
      </c>
      <c r="N77" s="3">
        <f>Table1[[#This Row],[Total Sales]]-(Table1[[#This Row],[Quantity]]*Table1[[#This Row],[Unit Cost]])</f>
        <v>360</v>
      </c>
      <c r="O77" s="5">
        <f>IF(Table1[[#This Row],[Total Sales]]=0,0,Table1[[#This Row],[Profit]]/Table1[[#This Row],[Total Sales]])</f>
        <v>0.41379310344827586</v>
      </c>
      <c r="P77" s="3" t="str">
        <f>TEXT(Table1[[#This Row],[Order Date]],"mmmm")</f>
        <v>April</v>
      </c>
      <c r="Q77" s="6" t="str">
        <f t="shared" si="2"/>
        <v>الربع 2</v>
      </c>
    </row>
    <row r="78" spans="1:17" x14ac:dyDescent="0.3">
      <c r="A78" t="s">
        <v>183</v>
      </c>
      <c r="B78" s="1">
        <v>45749</v>
      </c>
      <c r="C78" s="2" t="s">
        <v>45</v>
      </c>
      <c r="D78" s="2" t="s">
        <v>23</v>
      </c>
      <c r="E78" s="2" t="s">
        <v>24</v>
      </c>
      <c r="F78" s="2" t="s">
        <v>17</v>
      </c>
      <c r="G78" s="2" t="s">
        <v>26</v>
      </c>
      <c r="H78" s="2" t="s">
        <v>85</v>
      </c>
      <c r="I78">
        <v>2</v>
      </c>
      <c r="J78" s="3">
        <v>380</v>
      </c>
      <c r="K78" s="3">
        <v>210</v>
      </c>
      <c r="L78" s="3">
        <v>760</v>
      </c>
      <c r="M78" t="s">
        <v>20</v>
      </c>
      <c r="N78" s="3">
        <f>Table1[[#This Row],[Total Sales]]-(Table1[[#This Row],[Quantity]]*Table1[[#This Row],[Unit Cost]])</f>
        <v>340</v>
      </c>
      <c r="O78" s="5">
        <f>IF(Table1[[#This Row],[Total Sales]]=0,0,Table1[[#This Row],[Profit]]/Table1[[#This Row],[Total Sales]])</f>
        <v>0.44736842105263158</v>
      </c>
      <c r="P78" s="3" t="str">
        <f>TEXT(Table1[[#This Row],[Order Date]],"mmmm")</f>
        <v>April</v>
      </c>
      <c r="Q78" s="6" t="str">
        <f t="shared" si="2"/>
        <v>الربع 2</v>
      </c>
    </row>
    <row r="79" spans="1:17" x14ac:dyDescent="0.3">
      <c r="A79" t="s">
        <v>184</v>
      </c>
      <c r="B79" s="1">
        <v>45750</v>
      </c>
      <c r="C79" s="2" t="s">
        <v>48</v>
      </c>
      <c r="D79" s="2" t="s">
        <v>30</v>
      </c>
      <c r="E79" s="2" t="s">
        <v>24</v>
      </c>
      <c r="F79" s="2" t="s">
        <v>25</v>
      </c>
      <c r="G79" s="2" t="s">
        <v>39</v>
      </c>
      <c r="H79" s="2" t="s">
        <v>71</v>
      </c>
      <c r="I79">
        <v>1</v>
      </c>
      <c r="J79" s="3">
        <v>520</v>
      </c>
      <c r="K79" s="3">
        <v>290</v>
      </c>
      <c r="L79" s="3">
        <v>520</v>
      </c>
      <c r="M79" t="s">
        <v>20</v>
      </c>
      <c r="N79" s="3">
        <f>Table1[[#This Row],[Total Sales]]-(Table1[[#This Row],[Quantity]]*Table1[[#This Row],[Unit Cost]])</f>
        <v>230</v>
      </c>
      <c r="O79" s="5">
        <f>IF(Table1[[#This Row],[Total Sales]]=0,0,Table1[[#This Row],[Profit]]/Table1[[#This Row],[Total Sales]])</f>
        <v>0.44230769230769229</v>
      </c>
      <c r="P79" s="3" t="str">
        <f>TEXT(Table1[[#This Row],[Order Date]],"mmmm")</f>
        <v>April</v>
      </c>
      <c r="Q79" s="6" t="str">
        <f t="shared" si="2"/>
        <v>الربع 2</v>
      </c>
    </row>
    <row r="80" spans="1:17" x14ac:dyDescent="0.3">
      <c r="A80" t="s">
        <v>185</v>
      </c>
      <c r="B80" s="1">
        <v>45751</v>
      </c>
      <c r="C80" s="2" t="s">
        <v>51</v>
      </c>
      <c r="D80" s="2" t="s">
        <v>15</v>
      </c>
      <c r="E80" s="2" t="s">
        <v>16</v>
      </c>
      <c r="F80" s="2" t="s">
        <v>17</v>
      </c>
      <c r="G80" s="2" t="s">
        <v>18</v>
      </c>
      <c r="H80" s="2" t="s">
        <v>46</v>
      </c>
      <c r="I80">
        <v>1</v>
      </c>
      <c r="J80" s="3">
        <v>4500</v>
      </c>
      <c r="K80" s="3">
        <v>3300</v>
      </c>
      <c r="L80" s="3">
        <v>4500</v>
      </c>
      <c r="M80" t="s">
        <v>20</v>
      </c>
      <c r="N80" s="3">
        <f>Table1[[#This Row],[Total Sales]]-(Table1[[#This Row],[Quantity]]*Table1[[#This Row],[Unit Cost]])</f>
        <v>1200</v>
      </c>
      <c r="O80" s="5">
        <f>IF(Table1[[#This Row],[Total Sales]]=0,0,Table1[[#This Row],[Profit]]/Table1[[#This Row],[Total Sales]])</f>
        <v>0.26666666666666666</v>
      </c>
      <c r="P80" s="3" t="str">
        <f>TEXT(Table1[[#This Row],[Order Date]],"mmmm")</f>
        <v>April</v>
      </c>
      <c r="Q80" s="6" t="str">
        <f t="shared" si="2"/>
        <v>الربع 2</v>
      </c>
    </row>
    <row r="81" spans="1:17" x14ac:dyDescent="0.3">
      <c r="A81" t="s">
        <v>186</v>
      </c>
      <c r="B81" s="1">
        <v>45781</v>
      </c>
      <c r="C81" s="2" t="s">
        <v>54</v>
      </c>
      <c r="D81" s="2" t="s">
        <v>23</v>
      </c>
      <c r="E81" s="2" t="s">
        <v>24</v>
      </c>
      <c r="F81" s="2" t="s">
        <v>25</v>
      </c>
      <c r="G81" s="2" t="s">
        <v>31</v>
      </c>
      <c r="H81" s="2" t="s">
        <v>83</v>
      </c>
      <c r="I81">
        <v>1</v>
      </c>
      <c r="J81" s="3">
        <v>2100</v>
      </c>
      <c r="K81" s="3">
        <v>1450</v>
      </c>
      <c r="L81" s="3">
        <v>2100</v>
      </c>
      <c r="M81" t="s">
        <v>20</v>
      </c>
      <c r="N81" s="3">
        <f>Table1[[#This Row],[Total Sales]]-(Table1[[#This Row],[Quantity]]*Table1[[#This Row],[Unit Cost]])</f>
        <v>650</v>
      </c>
      <c r="O81" s="5">
        <f>IF(Table1[[#This Row],[Total Sales]]=0,0,Table1[[#This Row],[Profit]]/Table1[[#This Row],[Total Sales]])</f>
        <v>0.30952380952380953</v>
      </c>
      <c r="P81" s="3" t="str">
        <f>TEXT(Table1[[#This Row],[Order Date]],"mmmm")</f>
        <v>May</v>
      </c>
      <c r="Q81" s="6" t="str">
        <f t="shared" si="2"/>
        <v>الربع 2</v>
      </c>
    </row>
    <row r="82" spans="1:17" x14ac:dyDescent="0.3">
      <c r="A82" t="s">
        <v>187</v>
      </c>
      <c r="B82" s="1">
        <v>45753</v>
      </c>
      <c r="C82" s="2" t="s">
        <v>14</v>
      </c>
      <c r="D82" s="2" t="s">
        <v>15</v>
      </c>
      <c r="E82" s="2" t="s">
        <v>16</v>
      </c>
      <c r="F82" s="2" t="s">
        <v>17</v>
      </c>
      <c r="G82" s="2" t="s">
        <v>26</v>
      </c>
      <c r="H82" s="2" t="s">
        <v>77</v>
      </c>
      <c r="I82">
        <v>1</v>
      </c>
      <c r="J82" s="3">
        <v>720</v>
      </c>
      <c r="K82" s="3">
        <v>420</v>
      </c>
      <c r="L82" s="3">
        <v>720</v>
      </c>
      <c r="M82" t="s">
        <v>20</v>
      </c>
      <c r="N82" s="3">
        <f>Table1[[#This Row],[Total Sales]]-(Table1[[#This Row],[Quantity]]*Table1[[#This Row],[Unit Cost]])</f>
        <v>300</v>
      </c>
      <c r="O82" s="5">
        <f>IF(Table1[[#This Row],[Total Sales]]=0,0,Table1[[#This Row],[Profit]]/Table1[[#This Row],[Total Sales]])</f>
        <v>0.41666666666666669</v>
      </c>
      <c r="P82" s="3" t="str">
        <f>TEXT(Table1[[#This Row],[Order Date]],"mmmm")</f>
        <v>April</v>
      </c>
      <c r="Q82" s="6" t="str">
        <f t="shared" si="2"/>
        <v>الربع 2</v>
      </c>
    </row>
    <row r="83" spans="1:17" x14ac:dyDescent="0.3">
      <c r="A83" t="s">
        <v>188</v>
      </c>
      <c r="B83" s="1">
        <v>45754</v>
      </c>
      <c r="C83" s="2" t="s">
        <v>22</v>
      </c>
      <c r="D83" s="2" t="s">
        <v>23</v>
      </c>
      <c r="E83" s="2" t="s">
        <v>377</v>
      </c>
      <c r="F83" s="2" t="s">
        <v>25</v>
      </c>
      <c r="G83" s="2" t="s">
        <v>39</v>
      </c>
      <c r="H83" s="2" t="s">
        <v>189</v>
      </c>
      <c r="I83">
        <v>4</v>
      </c>
      <c r="J83" s="3">
        <v>210</v>
      </c>
      <c r="K83" s="3">
        <v>110</v>
      </c>
      <c r="L83" s="3">
        <v>840</v>
      </c>
      <c r="M83" t="s">
        <v>20</v>
      </c>
      <c r="N83" s="3">
        <f>Table1[[#This Row],[Total Sales]]-(Table1[[#This Row],[Quantity]]*Table1[[#This Row],[Unit Cost]])</f>
        <v>400</v>
      </c>
      <c r="O83" s="5">
        <f>IF(Table1[[#This Row],[Total Sales]]=0,0,Table1[[#This Row],[Profit]]/Table1[[#This Row],[Total Sales]])</f>
        <v>0.47619047619047616</v>
      </c>
      <c r="P83" s="3" t="str">
        <f>TEXT(Table1[[#This Row],[Order Date]],"mmmm")</f>
        <v>April</v>
      </c>
      <c r="Q83" s="6" t="str">
        <f t="shared" si="2"/>
        <v>الربع 2</v>
      </c>
    </row>
    <row r="84" spans="1:17" x14ac:dyDescent="0.3">
      <c r="A84" t="s">
        <v>190</v>
      </c>
      <c r="B84" s="1">
        <v>45755</v>
      </c>
      <c r="C84" s="2" t="s">
        <v>29</v>
      </c>
      <c r="D84" s="2" t="s">
        <v>30</v>
      </c>
      <c r="E84" s="2" t="s">
        <v>16</v>
      </c>
      <c r="F84" s="2" t="s">
        <v>17</v>
      </c>
      <c r="G84" s="2" t="s">
        <v>18</v>
      </c>
      <c r="H84" s="2" t="s">
        <v>191</v>
      </c>
      <c r="I84">
        <v>2</v>
      </c>
      <c r="J84" s="3">
        <v>340</v>
      </c>
      <c r="K84" s="3">
        <v>180</v>
      </c>
      <c r="L84" s="3">
        <v>680</v>
      </c>
      <c r="M84" t="s">
        <v>20</v>
      </c>
      <c r="N84" s="3">
        <f>Table1[[#This Row],[Total Sales]]-(Table1[[#This Row],[Quantity]]*Table1[[#This Row],[Unit Cost]])</f>
        <v>320</v>
      </c>
      <c r="O84" s="5">
        <f>IF(Table1[[#This Row],[Total Sales]]=0,0,Table1[[#This Row],[Profit]]/Table1[[#This Row],[Total Sales]])</f>
        <v>0.47058823529411764</v>
      </c>
      <c r="P84" s="3" t="str">
        <f>TEXT(Table1[[#This Row],[Order Date]],"mmmm")</f>
        <v>April</v>
      </c>
      <c r="Q84" s="6" t="str">
        <f t="shared" si="2"/>
        <v>الربع 2</v>
      </c>
    </row>
    <row r="85" spans="1:17" x14ac:dyDescent="0.3">
      <c r="A85" t="s">
        <v>192</v>
      </c>
      <c r="B85" s="1">
        <v>45756</v>
      </c>
      <c r="C85" s="2" t="s">
        <v>34</v>
      </c>
      <c r="D85" s="2" t="s">
        <v>15</v>
      </c>
      <c r="E85" s="2" t="s">
        <v>24</v>
      </c>
      <c r="F85" s="2" t="s">
        <v>25</v>
      </c>
      <c r="G85" s="2" t="s">
        <v>31</v>
      </c>
      <c r="H85" s="2" t="s">
        <v>59</v>
      </c>
      <c r="I85">
        <v>1</v>
      </c>
      <c r="J85" s="3">
        <v>1450</v>
      </c>
      <c r="K85" s="3">
        <v>890</v>
      </c>
      <c r="L85" s="3">
        <v>1450</v>
      </c>
      <c r="M85" t="s">
        <v>20</v>
      </c>
      <c r="N85" s="3">
        <f>Table1[[#This Row],[Total Sales]]-(Table1[[#This Row],[Quantity]]*Table1[[#This Row],[Unit Cost]])</f>
        <v>560</v>
      </c>
      <c r="O85" s="5">
        <f>IF(Table1[[#This Row],[Total Sales]]=0,0,Table1[[#This Row],[Profit]]/Table1[[#This Row],[Total Sales]])</f>
        <v>0.38620689655172413</v>
      </c>
      <c r="P85" s="3" t="str">
        <f>TEXT(Table1[[#This Row],[Order Date]],"mmmm")</f>
        <v>April</v>
      </c>
      <c r="Q85" s="6" t="str">
        <f t="shared" si="2"/>
        <v>الربع 2</v>
      </c>
    </row>
    <row r="86" spans="1:17" x14ac:dyDescent="0.3">
      <c r="A86" t="s">
        <v>193</v>
      </c>
      <c r="B86" s="1">
        <v>45757</v>
      </c>
      <c r="C86" s="2" t="s">
        <v>37</v>
      </c>
      <c r="D86" s="2" t="s">
        <v>38</v>
      </c>
      <c r="E86" s="2" t="s">
        <v>16</v>
      </c>
      <c r="F86" s="2" t="s">
        <v>17</v>
      </c>
      <c r="G86" s="2" t="s">
        <v>26</v>
      </c>
      <c r="H86" s="2" t="s">
        <v>69</v>
      </c>
      <c r="I86">
        <v>2</v>
      </c>
      <c r="J86" s="3">
        <v>310</v>
      </c>
      <c r="K86" s="3">
        <v>170</v>
      </c>
      <c r="L86" s="3">
        <v>620</v>
      </c>
      <c r="M86" t="s">
        <v>20</v>
      </c>
      <c r="N86" s="3">
        <f>Table1[[#This Row],[Total Sales]]-(Table1[[#This Row],[Quantity]]*Table1[[#This Row],[Unit Cost]])</f>
        <v>280</v>
      </c>
      <c r="O86" s="5">
        <f>IF(Table1[[#This Row],[Total Sales]]=0,0,Table1[[#This Row],[Profit]]/Table1[[#This Row],[Total Sales]])</f>
        <v>0.45161290322580644</v>
      </c>
      <c r="P86" s="3" t="str">
        <f>TEXT(Table1[[#This Row],[Order Date]],"mmmm")</f>
        <v>April</v>
      </c>
      <c r="Q86" s="6" t="str">
        <f t="shared" si="2"/>
        <v>الربع 2</v>
      </c>
    </row>
    <row r="87" spans="1:17" x14ac:dyDescent="0.3">
      <c r="A87" t="s">
        <v>194</v>
      </c>
      <c r="B87" s="1">
        <v>45965</v>
      </c>
      <c r="C87" s="2" t="s">
        <v>42</v>
      </c>
      <c r="D87" s="2" t="s">
        <v>15</v>
      </c>
      <c r="E87" s="2" t="s">
        <v>16</v>
      </c>
      <c r="F87" s="2" t="s">
        <v>25</v>
      </c>
      <c r="G87" s="2" t="s">
        <v>39</v>
      </c>
      <c r="H87" s="2" t="s">
        <v>195</v>
      </c>
      <c r="I87">
        <v>1</v>
      </c>
      <c r="J87" s="3">
        <v>680</v>
      </c>
      <c r="K87" s="3">
        <v>420</v>
      </c>
      <c r="L87" s="3">
        <v>680</v>
      </c>
      <c r="M87" t="s">
        <v>20</v>
      </c>
      <c r="N87" s="3">
        <f>Table1[[#This Row],[Total Sales]]-(Table1[[#This Row],[Quantity]]*Table1[[#This Row],[Unit Cost]])</f>
        <v>260</v>
      </c>
      <c r="O87" s="5">
        <f>IF(Table1[[#This Row],[Total Sales]]=0,0,Table1[[#This Row],[Profit]]/Table1[[#This Row],[Total Sales]])</f>
        <v>0.38235294117647056</v>
      </c>
      <c r="P87" s="3" t="str">
        <f>TEXT(Table1[[#This Row],[Order Date]],"mmmm")</f>
        <v>November</v>
      </c>
      <c r="Q87" s="6" t="str">
        <f t="shared" si="2"/>
        <v>الربع 4</v>
      </c>
    </row>
    <row r="88" spans="1:17" x14ac:dyDescent="0.3">
      <c r="A88" t="s">
        <v>196</v>
      </c>
      <c r="B88" s="1">
        <v>45759</v>
      </c>
      <c r="C88" s="2" t="s">
        <v>45</v>
      </c>
      <c r="D88" s="2" t="s">
        <v>23</v>
      </c>
      <c r="E88" s="2" t="s">
        <v>24</v>
      </c>
      <c r="F88" s="2" t="s">
        <v>17</v>
      </c>
      <c r="G88" s="2" t="s">
        <v>18</v>
      </c>
      <c r="H88" s="2" t="s">
        <v>89</v>
      </c>
      <c r="I88">
        <v>1</v>
      </c>
      <c r="J88" s="3">
        <v>1950</v>
      </c>
      <c r="K88" s="3">
        <v>1400</v>
      </c>
      <c r="L88" s="3">
        <v>1950</v>
      </c>
      <c r="M88" t="s">
        <v>20</v>
      </c>
      <c r="N88" s="3">
        <f>Table1[[#This Row],[Total Sales]]-(Table1[[#This Row],[Quantity]]*Table1[[#This Row],[Unit Cost]])</f>
        <v>550</v>
      </c>
      <c r="O88" s="5">
        <f>IF(Table1[[#This Row],[Total Sales]]=0,0,Table1[[#This Row],[Profit]]/Table1[[#This Row],[Total Sales]])</f>
        <v>0.28205128205128205</v>
      </c>
      <c r="P88" s="3" t="str">
        <f>TEXT(Table1[[#This Row],[Order Date]],"mmmm")</f>
        <v>April</v>
      </c>
      <c r="Q88" s="6" t="str">
        <f t="shared" si="2"/>
        <v>الربع 2</v>
      </c>
    </row>
    <row r="89" spans="1:17" x14ac:dyDescent="0.3">
      <c r="A89" t="s">
        <v>197</v>
      </c>
      <c r="B89" s="1">
        <v>45760</v>
      </c>
      <c r="C89" s="2" t="s">
        <v>48</v>
      </c>
      <c r="D89" s="2" t="s">
        <v>30</v>
      </c>
      <c r="E89" s="2" t="s">
        <v>24</v>
      </c>
      <c r="F89" s="2" t="s">
        <v>25</v>
      </c>
      <c r="G89" s="2" t="s">
        <v>31</v>
      </c>
      <c r="H89" s="2" t="s">
        <v>91</v>
      </c>
      <c r="I89">
        <v>1</v>
      </c>
      <c r="J89" s="3">
        <v>3100</v>
      </c>
      <c r="K89" s="3">
        <v>2250</v>
      </c>
      <c r="L89" s="3">
        <v>3100</v>
      </c>
      <c r="M89" t="s">
        <v>20</v>
      </c>
      <c r="N89" s="3">
        <f>Table1[[#This Row],[Total Sales]]-(Table1[[#This Row],[Quantity]]*Table1[[#This Row],[Unit Cost]])</f>
        <v>850</v>
      </c>
      <c r="O89" s="5">
        <f>IF(Table1[[#This Row],[Total Sales]]=0,0,Table1[[#This Row],[Profit]]/Table1[[#This Row],[Total Sales]])</f>
        <v>0.27419354838709675</v>
      </c>
      <c r="P89" s="3" t="str">
        <f>TEXT(Table1[[#This Row],[Order Date]],"mmmm")</f>
        <v>April</v>
      </c>
      <c r="Q89" s="6" t="str">
        <f t="shared" si="2"/>
        <v>الربع 2</v>
      </c>
    </row>
    <row r="90" spans="1:17" x14ac:dyDescent="0.3">
      <c r="A90" t="s">
        <v>198</v>
      </c>
      <c r="B90" s="1">
        <v>45761</v>
      </c>
      <c r="C90" s="2" t="s">
        <v>51</v>
      </c>
      <c r="D90" s="2" t="s">
        <v>15</v>
      </c>
      <c r="E90" s="2" t="s">
        <v>16</v>
      </c>
      <c r="F90" s="2" t="s">
        <v>17</v>
      </c>
      <c r="G90" s="2" t="s">
        <v>26</v>
      </c>
      <c r="H90" s="2" t="s">
        <v>199</v>
      </c>
      <c r="I90">
        <v>3</v>
      </c>
      <c r="J90" s="3">
        <v>250</v>
      </c>
      <c r="K90" s="3">
        <v>140</v>
      </c>
      <c r="L90" s="3">
        <v>750</v>
      </c>
      <c r="M90" t="s">
        <v>20</v>
      </c>
      <c r="N90" s="3">
        <f>Table1[[#This Row],[Total Sales]]-(Table1[[#This Row],[Quantity]]*Table1[[#This Row],[Unit Cost]])</f>
        <v>330</v>
      </c>
      <c r="O90" s="5">
        <f>IF(Table1[[#This Row],[Total Sales]]=0,0,Table1[[#This Row],[Profit]]/Table1[[#This Row],[Total Sales]])</f>
        <v>0.44</v>
      </c>
      <c r="P90" s="3" t="str">
        <f>TEXT(Table1[[#This Row],[Order Date]],"mmmm")</f>
        <v>April</v>
      </c>
      <c r="Q90" s="6" t="str">
        <f t="shared" si="2"/>
        <v>الربع 2</v>
      </c>
    </row>
    <row r="91" spans="1:17" x14ac:dyDescent="0.3">
      <c r="A91" t="s">
        <v>200</v>
      </c>
      <c r="B91" s="1">
        <v>45762</v>
      </c>
      <c r="C91" s="2" t="s">
        <v>54</v>
      </c>
      <c r="D91" s="2" t="s">
        <v>23</v>
      </c>
      <c r="E91" s="2" t="s">
        <v>24</v>
      </c>
      <c r="F91" s="2" t="s">
        <v>25</v>
      </c>
      <c r="G91" s="2" t="s">
        <v>39</v>
      </c>
      <c r="H91" s="2" t="s">
        <v>201</v>
      </c>
      <c r="I91">
        <v>1</v>
      </c>
      <c r="J91" s="3">
        <v>480</v>
      </c>
      <c r="K91" s="3">
        <v>280</v>
      </c>
      <c r="L91" s="3">
        <v>480</v>
      </c>
      <c r="M91" t="s">
        <v>20</v>
      </c>
      <c r="N91" s="3">
        <f>Table1[[#This Row],[Total Sales]]-(Table1[[#This Row],[Quantity]]*Table1[[#This Row],[Unit Cost]])</f>
        <v>200</v>
      </c>
      <c r="O91" s="5">
        <f>IF(Table1[[#This Row],[Total Sales]]=0,0,Table1[[#This Row],[Profit]]/Table1[[#This Row],[Total Sales]])</f>
        <v>0.41666666666666669</v>
      </c>
      <c r="P91" s="3" t="str">
        <f>TEXT(Table1[[#This Row],[Order Date]],"mmmm")</f>
        <v>April</v>
      </c>
      <c r="Q91" s="6" t="str">
        <f t="shared" si="2"/>
        <v>الربع 2</v>
      </c>
    </row>
    <row r="92" spans="1:17" x14ac:dyDescent="0.3">
      <c r="A92" t="s">
        <v>202</v>
      </c>
      <c r="B92" s="1">
        <v>45763</v>
      </c>
      <c r="C92" s="2" t="s">
        <v>14</v>
      </c>
      <c r="D92" s="2" t="s">
        <v>15</v>
      </c>
      <c r="E92" s="2" t="s">
        <v>16</v>
      </c>
      <c r="F92" s="2" t="s">
        <v>17</v>
      </c>
      <c r="G92" s="2" t="s">
        <v>18</v>
      </c>
      <c r="H92" s="2" t="s">
        <v>203</v>
      </c>
      <c r="I92">
        <v>1</v>
      </c>
      <c r="J92" s="3">
        <v>520</v>
      </c>
      <c r="K92" s="3">
        <v>310</v>
      </c>
      <c r="L92" s="3">
        <v>520</v>
      </c>
      <c r="M92" t="s">
        <v>20</v>
      </c>
      <c r="N92" s="3">
        <f>Table1[[#This Row],[Total Sales]]-(Table1[[#This Row],[Quantity]]*Table1[[#This Row],[Unit Cost]])</f>
        <v>210</v>
      </c>
      <c r="O92" s="5">
        <f>IF(Table1[[#This Row],[Total Sales]]=0,0,Table1[[#This Row],[Profit]]/Table1[[#This Row],[Total Sales]])</f>
        <v>0.40384615384615385</v>
      </c>
      <c r="P92" s="3" t="str">
        <f>TEXT(Table1[[#This Row],[Order Date]],"mmmm")</f>
        <v>April</v>
      </c>
      <c r="Q92" s="6" t="str">
        <f t="shared" si="2"/>
        <v>الربع 2</v>
      </c>
    </row>
    <row r="93" spans="1:17" x14ac:dyDescent="0.3">
      <c r="A93" t="s">
        <v>204</v>
      </c>
      <c r="B93" s="1">
        <v>45764</v>
      </c>
      <c r="C93" s="2" t="s">
        <v>22</v>
      </c>
      <c r="D93" s="2" t="s">
        <v>23</v>
      </c>
      <c r="E93" s="2" t="s">
        <v>24</v>
      </c>
      <c r="F93" s="2" t="s">
        <v>25</v>
      </c>
      <c r="G93" s="2" t="s">
        <v>31</v>
      </c>
      <c r="H93" s="2" t="s">
        <v>205</v>
      </c>
      <c r="I93">
        <v>1</v>
      </c>
      <c r="J93" s="3">
        <v>650</v>
      </c>
      <c r="K93" s="3">
        <v>390</v>
      </c>
      <c r="L93" s="3">
        <v>650</v>
      </c>
      <c r="M93" t="s">
        <v>20</v>
      </c>
      <c r="N93" s="3">
        <f>Table1[[#This Row],[Total Sales]]-(Table1[[#This Row],[Quantity]]*Table1[[#This Row],[Unit Cost]])</f>
        <v>260</v>
      </c>
      <c r="O93" s="5">
        <f>IF(Table1[[#This Row],[Total Sales]]=0,0,Table1[[#This Row],[Profit]]/Table1[[#This Row],[Total Sales]])</f>
        <v>0.4</v>
      </c>
      <c r="P93" s="3" t="str">
        <f>TEXT(Table1[[#This Row],[Order Date]],"mmmm")</f>
        <v>April</v>
      </c>
      <c r="Q93" s="6" t="str">
        <f t="shared" si="2"/>
        <v>الربع 2</v>
      </c>
    </row>
    <row r="94" spans="1:17" x14ac:dyDescent="0.3">
      <c r="A94" t="s">
        <v>206</v>
      </c>
      <c r="B94" s="1">
        <v>45765</v>
      </c>
      <c r="C94" s="2" t="s">
        <v>29</v>
      </c>
      <c r="D94" s="2" t="s">
        <v>30</v>
      </c>
      <c r="E94" s="2" t="s">
        <v>16</v>
      </c>
      <c r="F94" s="2" t="s">
        <v>17</v>
      </c>
      <c r="G94" s="2" t="s">
        <v>26</v>
      </c>
      <c r="H94" s="2" t="s">
        <v>207</v>
      </c>
      <c r="I94">
        <v>2</v>
      </c>
      <c r="J94" s="3">
        <v>280</v>
      </c>
      <c r="K94" s="3">
        <v>150</v>
      </c>
      <c r="L94" s="3">
        <v>560</v>
      </c>
      <c r="M94" t="s">
        <v>20</v>
      </c>
      <c r="N94" s="3">
        <f>Table1[[#This Row],[Total Sales]]-(Table1[[#This Row],[Quantity]]*Table1[[#This Row],[Unit Cost]])</f>
        <v>260</v>
      </c>
      <c r="O94" s="5">
        <f>IF(Table1[[#This Row],[Total Sales]]=0,0,Table1[[#This Row],[Profit]]/Table1[[#This Row],[Total Sales]])</f>
        <v>0.4642857142857143</v>
      </c>
      <c r="P94" s="3" t="str">
        <f>TEXT(Table1[[#This Row],[Order Date]],"mmmm")</f>
        <v>April</v>
      </c>
      <c r="Q94" s="6" t="str">
        <f t="shared" si="2"/>
        <v>الربع 2</v>
      </c>
    </row>
    <row r="95" spans="1:17" x14ac:dyDescent="0.3">
      <c r="A95" t="s">
        <v>208</v>
      </c>
      <c r="B95" s="1">
        <v>45766</v>
      </c>
      <c r="C95" s="2" t="s">
        <v>34</v>
      </c>
      <c r="D95" s="2" t="s">
        <v>15</v>
      </c>
      <c r="E95" s="2" t="s">
        <v>24</v>
      </c>
      <c r="F95" s="2" t="s">
        <v>25</v>
      </c>
      <c r="G95" s="2" t="s">
        <v>39</v>
      </c>
      <c r="H95" s="2" t="s">
        <v>209</v>
      </c>
      <c r="I95">
        <v>1</v>
      </c>
      <c r="J95" s="3">
        <v>2400</v>
      </c>
      <c r="K95" s="3">
        <v>1550</v>
      </c>
      <c r="L95" s="3">
        <v>2400</v>
      </c>
      <c r="M95" t="s">
        <v>20</v>
      </c>
      <c r="N95" s="3">
        <f>Table1[[#This Row],[Total Sales]]-(Table1[[#This Row],[Quantity]]*Table1[[#This Row],[Unit Cost]])</f>
        <v>850</v>
      </c>
      <c r="O95" s="5">
        <f>IF(Table1[[#This Row],[Total Sales]]=0,0,Table1[[#This Row],[Profit]]/Table1[[#This Row],[Total Sales]])</f>
        <v>0.35416666666666669</v>
      </c>
      <c r="P95" s="3" t="str">
        <f>TEXT(Table1[[#This Row],[Order Date]],"mmmm")</f>
        <v>April</v>
      </c>
      <c r="Q95" s="6" t="str">
        <f t="shared" si="2"/>
        <v>الربع 2</v>
      </c>
    </row>
    <row r="96" spans="1:17" x14ac:dyDescent="0.3">
      <c r="A96" t="s">
        <v>210</v>
      </c>
      <c r="B96" s="1">
        <v>45767</v>
      </c>
      <c r="C96" s="2" t="s">
        <v>37</v>
      </c>
      <c r="D96" s="2" t="s">
        <v>38</v>
      </c>
      <c r="E96" s="2" t="s">
        <v>16</v>
      </c>
      <c r="F96" s="2" t="s">
        <v>17</v>
      </c>
      <c r="G96" s="2" t="s">
        <v>18</v>
      </c>
      <c r="H96" s="2" t="s">
        <v>211</v>
      </c>
      <c r="I96">
        <v>1</v>
      </c>
      <c r="J96" s="3">
        <v>1350</v>
      </c>
      <c r="K96" s="3">
        <v>920</v>
      </c>
      <c r="L96" s="3">
        <v>1350</v>
      </c>
      <c r="M96" t="s">
        <v>20</v>
      </c>
      <c r="N96" s="3">
        <f>Table1[[#This Row],[Total Sales]]-(Table1[[#This Row],[Quantity]]*Table1[[#This Row],[Unit Cost]])</f>
        <v>430</v>
      </c>
      <c r="O96" s="5">
        <f>IF(Table1[[#This Row],[Total Sales]]=0,0,Table1[[#This Row],[Profit]]/Table1[[#This Row],[Total Sales]])</f>
        <v>0.31851851851851853</v>
      </c>
      <c r="P96" s="3" t="str">
        <f>TEXT(Table1[[#This Row],[Order Date]],"mmmm")</f>
        <v>April</v>
      </c>
      <c r="Q96" s="6" t="str">
        <f t="shared" si="2"/>
        <v>الربع 2</v>
      </c>
    </row>
    <row r="97" spans="1:17" x14ac:dyDescent="0.3">
      <c r="A97" t="s">
        <v>212</v>
      </c>
      <c r="B97" s="1">
        <v>45768</v>
      </c>
      <c r="C97" s="2" t="s">
        <v>42</v>
      </c>
      <c r="D97" s="2" t="s">
        <v>15</v>
      </c>
      <c r="E97" s="2" t="s">
        <v>16</v>
      </c>
      <c r="F97" s="2" t="s">
        <v>25</v>
      </c>
      <c r="G97" s="2" t="s">
        <v>31</v>
      </c>
      <c r="H97" s="2" t="s">
        <v>213</v>
      </c>
      <c r="I97">
        <v>1</v>
      </c>
      <c r="J97" s="3">
        <v>1050</v>
      </c>
      <c r="K97" s="3">
        <v>680</v>
      </c>
      <c r="L97" s="3">
        <v>1050</v>
      </c>
      <c r="M97" t="s">
        <v>20</v>
      </c>
      <c r="N97" s="3">
        <f>Table1[[#This Row],[Total Sales]]-(Table1[[#This Row],[Quantity]]*Table1[[#This Row],[Unit Cost]])</f>
        <v>370</v>
      </c>
      <c r="O97" s="5">
        <f>IF(Table1[[#This Row],[Total Sales]]=0,0,Table1[[#This Row],[Profit]]/Table1[[#This Row],[Total Sales]])</f>
        <v>0.35238095238095241</v>
      </c>
      <c r="P97" s="3" t="str">
        <f>TEXT(Table1[[#This Row],[Order Date]],"mmmm")</f>
        <v>April</v>
      </c>
      <c r="Q97" s="6" t="str">
        <f t="shared" si="2"/>
        <v>الربع 2</v>
      </c>
    </row>
    <row r="98" spans="1:17" x14ac:dyDescent="0.3">
      <c r="A98" t="s">
        <v>214</v>
      </c>
      <c r="B98" s="1">
        <v>45769</v>
      </c>
      <c r="C98" s="2" t="s">
        <v>45</v>
      </c>
      <c r="D98" s="2" t="s">
        <v>23</v>
      </c>
      <c r="E98" s="2" t="s">
        <v>24</v>
      </c>
      <c r="F98" s="2" t="s">
        <v>17</v>
      </c>
      <c r="G98" s="2" t="s">
        <v>26</v>
      </c>
      <c r="H98" s="2" t="s">
        <v>101</v>
      </c>
      <c r="I98">
        <v>1</v>
      </c>
      <c r="J98" s="3">
        <v>450</v>
      </c>
      <c r="K98" s="3">
        <v>260</v>
      </c>
      <c r="L98" s="3">
        <v>450</v>
      </c>
      <c r="M98" t="s">
        <v>20</v>
      </c>
      <c r="N98" s="3">
        <f>Table1[[#This Row],[Total Sales]]-(Table1[[#This Row],[Quantity]]*Table1[[#This Row],[Unit Cost]])</f>
        <v>190</v>
      </c>
      <c r="O98" s="5">
        <f>IF(Table1[[#This Row],[Total Sales]]=0,0,Table1[[#This Row],[Profit]]/Table1[[#This Row],[Total Sales]])</f>
        <v>0.42222222222222222</v>
      </c>
      <c r="P98" s="3" t="str">
        <f>TEXT(Table1[[#This Row],[Order Date]],"mmmm")</f>
        <v>April</v>
      </c>
      <c r="Q98" s="6" t="str">
        <f t="shared" ref="Q98:Q129" si="3">"الربع "&amp;ROUNDUP(MONTH(B98)/3,0)</f>
        <v>الربع 2</v>
      </c>
    </row>
    <row r="99" spans="1:17" x14ac:dyDescent="0.3">
      <c r="A99" t="s">
        <v>215</v>
      </c>
      <c r="B99" s="1">
        <v>45770</v>
      </c>
      <c r="C99" s="2" t="s">
        <v>48</v>
      </c>
      <c r="D99" s="2" t="s">
        <v>30</v>
      </c>
      <c r="E99" s="2" t="s">
        <v>24</v>
      </c>
      <c r="F99" s="2" t="s">
        <v>25</v>
      </c>
      <c r="G99" s="2" t="s">
        <v>39</v>
      </c>
      <c r="H99" s="2" t="s">
        <v>216</v>
      </c>
      <c r="I99">
        <v>2</v>
      </c>
      <c r="J99" s="3">
        <v>210</v>
      </c>
      <c r="K99" s="3">
        <v>115</v>
      </c>
      <c r="L99" s="3">
        <v>420</v>
      </c>
      <c r="M99" t="s">
        <v>20</v>
      </c>
      <c r="N99" s="3">
        <f>Table1[[#This Row],[Total Sales]]-(Table1[[#This Row],[Quantity]]*Table1[[#This Row],[Unit Cost]])</f>
        <v>190</v>
      </c>
      <c r="O99" s="5">
        <f>IF(Table1[[#This Row],[Total Sales]]=0,0,Table1[[#This Row],[Profit]]/Table1[[#This Row],[Total Sales]])</f>
        <v>0.45238095238095238</v>
      </c>
      <c r="P99" s="3" t="str">
        <f>TEXT(Table1[[#This Row],[Order Date]],"mmmm")</f>
        <v>April</v>
      </c>
      <c r="Q99" s="6" t="str">
        <f t="shared" si="3"/>
        <v>الربع 2</v>
      </c>
    </row>
    <row r="100" spans="1:17" x14ac:dyDescent="0.3">
      <c r="A100" t="s">
        <v>217</v>
      </c>
      <c r="B100" s="1">
        <v>45771</v>
      </c>
      <c r="C100" s="2" t="s">
        <v>51</v>
      </c>
      <c r="D100" s="2" t="s">
        <v>15</v>
      </c>
      <c r="E100" s="2" t="s">
        <v>16</v>
      </c>
      <c r="F100" s="2" t="s">
        <v>17</v>
      </c>
      <c r="G100" s="2" t="s">
        <v>18</v>
      </c>
      <c r="H100" s="2" t="s">
        <v>218</v>
      </c>
      <c r="I100">
        <v>4</v>
      </c>
      <c r="J100" s="3">
        <v>190</v>
      </c>
      <c r="K100" s="3">
        <v>100</v>
      </c>
      <c r="L100" s="3">
        <v>760</v>
      </c>
      <c r="M100" t="s">
        <v>20</v>
      </c>
      <c r="N100" s="3">
        <f>Table1[[#This Row],[Total Sales]]-(Table1[[#This Row],[Quantity]]*Table1[[#This Row],[Unit Cost]])</f>
        <v>360</v>
      </c>
      <c r="O100" s="5">
        <f>IF(Table1[[#This Row],[Total Sales]]=0,0,Table1[[#This Row],[Profit]]/Table1[[#This Row],[Total Sales]])</f>
        <v>0.47368421052631576</v>
      </c>
      <c r="P100" s="3" t="str">
        <f>TEXT(Table1[[#This Row],[Order Date]],"mmmm")</f>
        <v>April</v>
      </c>
      <c r="Q100" s="6" t="str">
        <f t="shared" si="3"/>
        <v>الربع 2</v>
      </c>
    </row>
    <row r="101" spans="1:17" x14ac:dyDescent="0.3">
      <c r="A101" t="s">
        <v>219</v>
      </c>
      <c r="B101" s="1">
        <v>45772</v>
      </c>
      <c r="C101" s="2" t="s">
        <v>54</v>
      </c>
      <c r="D101" s="2" t="s">
        <v>23</v>
      </c>
      <c r="E101" s="2" t="s">
        <v>24</v>
      </c>
      <c r="F101" s="2" t="s">
        <v>25</v>
      </c>
      <c r="G101" s="2" t="s">
        <v>31</v>
      </c>
      <c r="H101" s="2" t="s">
        <v>220</v>
      </c>
      <c r="I101">
        <v>1</v>
      </c>
      <c r="J101" s="3">
        <v>1450</v>
      </c>
      <c r="K101" s="3">
        <v>980</v>
      </c>
      <c r="L101" s="3">
        <v>1450</v>
      </c>
      <c r="M101" t="s">
        <v>20</v>
      </c>
      <c r="N101" s="3">
        <f>Table1[[#This Row],[Total Sales]]-(Table1[[#This Row],[Quantity]]*Table1[[#This Row],[Unit Cost]])</f>
        <v>470</v>
      </c>
      <c r="O101" s="5">
        <f>IF(Table1[[#This Row],[Total Sales]]=0,0,Table1[[#This Row],[Profit]]/Table1[[#This Row],[Total Sales]])</f>
        <v>0.32413793103448274</v>
      </c>
      <c r="P101" s="3" t="str">
        <f>TEXT(Table1[[#This Row],[Order Date]],"mmmm")</f>
        <v>April</v>
      </c>
      <c r="Q101" s="6" t="str">
        <f t="shared" si="3"/>
        <v>الربع 2</v>
      </c>
    </row>
    <row r="102" spans="1:17" x14ac:dyDescent="0.3">
      <c r="A102" t="s">
        <v>221</v>
      </c>
      <c r="B102" s="1">
        <v>45773</v>
      </c>
      <c r="C102" s="2" t="s">
        <v>14</v>
      </c>
      <c r="D102" s="2" t="s">
        <v>15</v>
      </c>
      <c r="E102" s="2" t="s">
        <v>16</v>
      </c>
      <c r="F102" s="2" t="s">
        <v>17</v>
      </c>
      <c r="G102" s="2" t="s">
        <v>26</v>
      </c>
      <c r="H102" s="2" t="s">
        <v>222</v>
      </c>
      <c r="I102">
        <v>2</v>
      </c>
      <c r="J102" s="3">
        <v>180</v>
      </c>
      <c r="K102" s="3">
        <v>90</v>
      </c>
      <c r="L102" s="3">
        <v>360</v>
      </c>
      <c r="M102" t="s">
        <v>20</v>
      </c>
      <c r="N102" s="3">
        <f>Table1[[#This Row],[Total Sales]]-(Table1[[#This Row],[Quantity]]*Table1[[#This Row],[Unit Cost]])</f>
        <v>180</v>
      </c>
      <c r="O102" s="5">
        <f>IF(Table1[[#This Row],[Total Sales]]=0,0,Table1[[#This Row],[Profit]]/Table1[[#This Row],[Total Sales]])</f>
        <v>0.5</v>
      </c>
      <c r="P102" s="3" t="str">
        <f>TEXT(Table1[[#This Row],[Order Date]],"mmmm")</f>
        <v>April</v>
      </c>
      <c r="Q102" s="6" t="str">
        <f t="shared" si="3"/>
        <v>الربع 2</v>
      </c>
    </row>
    <row r="103" spans="1:17" x14ac:dyDescent="0.3">
      <c r="A103" t="s">
        <v>223</v>
      </c>
      <c r="B103" s="1">
        <v>45774</v>
      </c>
      <c r="C103" s="2" t="s">
        <v>22</v>
      </c>
      <c r="D103" s="2" t="s">
        <v>23</v>
      </c>
      <c r="E103" s="2" t="s">
        <v>377</v>
      </c>
      <c r="F103" s="2" t="s">
        <v>25</v>
      </c>
      <c r="G103" s="2" t="s">
        <v>39</v>
      </c>
      <c r="H103" s="2" t="s">
        <v>224</v>
      </c>
      <c r="I103">
        <v>3</v>
      </c>
      <c r="J103" s="3">
        <v>210</v>
      </c>
      <c r="K103" s="3">
        <v>110</v>
      </c>
      <c r="L103" s="3">
        <v>630</v>
      </c>
      <c r="M103" t="s">
        <v>20</v>
      </c>
      <c r="N103" s="3">
        <f>Table1[[#This Row],[Total Sales]]-(Table1[[#This Row],[Quantity]]*Table1[[#This Row],[Unit Cost]])</f>
        <v>300</v>
      </c>
      <c r="O103" s="5">
        <f>IF(Table1[[#This Row],[Total Sales]]=0,0,Table1[[#This Row],[Profit]]/Table1[[#This Row],[Total Sales]])</f>
        <v>0.47619047619047616</v>
      </c>
      <c r="P103" s="3" t="str">
        <f>TEXT(Table1[[#This Row],[Order Date]],"mmmm")</f>
        <v>April</v>
      </c>
      <c r="Q103" s="6" t="str">
        <f t="shared" si="3"/>
        <v>الربع 2</v>
      </c>
    </row>
    <row r="104" spans="1:17" x14ac:dyDescent="0.3">
      <c r="A104" t="s">
        <v>225</v>
      </c>
      <c r="B104" s="1">
        <v>45775</v>
      </c>
      <c r="C104" s="2" t="s">
        <v>29</v>
      </c>
      <c r="D104" s="2" t="s">
        <v>30</v>
      </c>
      <c r="E104" s="2" t="s">
        <v>16</v>
      </c>
      <c r="F104" s="2" t="s">
        <v>17</v>
      </c>
      <c r="G104" s="2" t="s">
        <v>18</v>
      </c>
      <c r="H104" s="2" t="s">
        <v>226</v>
      </c>
      <c r="I104">
        <v>3</v>
      </c>
      <c r="J104" s="3">
        <v>199</v>
      </c>
      <c r="K104" s="3">
        <v>105</v>
      </c>
      <c r="L104" s="3">
        <v>597</v>
      </c>
      <c r="M104" t="s">
        <v>20</v>
      </c>
      <c r="N104" s="3">
        <f>Table1[[#This Row],[Total Sales]]-(Table1[[#This Row],[Quantity]]*Table1[[#This Row],[Unit Cost]])</f>
        <v>282</v>
      </c>
      <c r="O104" s="5">
        <f>IF(Table1[[#This Row],[Total Sales]]=0,0,Table1[[#This Row],[Profit]]/Table1[[#This Row],[Total Sales]])</f>
        <v>0.47236180904522612</v>
      </c>
      <c r="P104" s="3" t="str">
        <f>TEXT(Table1[[#This Row],[Order Date]],"mmmm")</f>
        <v>April</v>
      </c>
      <c r="Q104" s="6" t="str">
        <f t="shared" si="3"/>
        <v>الربع 2</v>
      </c>
    </row>
    <row r="105" spans="1:17" x14ac:dyDescent="0.3">
      <c r="A105" t="s">
        <v>227</v>
      </c>
      <c r="B105" s="1">
        <v>45776</v>
      </c>
      <c r="C105" s="2" t="s">
        <v>34</v>
      </c>
      <c r="D105" s="2" t="s">
        <v>15</v>
      </c>
      <c r="E105" s="2" t="s">
        <v>24</v>
      </c>
      <c r="F105" s="2" t="s">
        <v>25</v>
      </c>
      <c r="G105" s="2" t="s">
        <v>31</v>
      </c>
      <c r="H105" s="2" t="s">
        <v>228</v>
      </c>
      <c r="I105">
        <v>1</v>
      </c>
      <c r="J105" s="3">
        <v>550</v>
      </c>
      <c r="K105" s="3">
        <v>320</v>
      </c>
      <c r="L105" s="3">
        <v>550</v>
      </c>
      <c r="M105" t="s">
        <v>20</v>
      </c>
      <c r="N105" s="3">
        <f>Table1[[#This Row],[Total Sales]]-(Table1[[#This Row],[Quantity]]*Table1[[#This Row],[Unit Cost]])</f>
        <v>230</v>
      </c>
      <c r="O105" s="5">
        <f>IF(Table1[[#This Row],[Total Sales]]=0,0,Table1[[#This Row],[Profit]]/Table1[[#This Row],[Total Sales]])</f>
        <v>0.41818181818181815</v>
      </c>
      <c r="P105" s="3" t="str">
        <f>TEXT(Table1[[#This Row],[Order Date]],"mmmm")</f>
        <v>April</v>
      </c>
      <c r="Q105" s="6" t="str">
        <f t="shared" si="3"/>
        <v>الربع 2</v>
      </c>
    </row>
    <row r="106" spans="1:17" x14ac:dyDescent="0.3">
      <c r="A106" t="s">
        <v>229</v>
      </c>
      <c r="B106" s="1">
        <v>45777</v>
      </c>
      <c r="C106" s="2" t="s">
        <v>37</v>
      </c>
      <c r="D106" s="2" t="s">
        <v>38</v>
      </c>
      <c r="E106" s="2" t="s">
        <v>16</v>
      </c>
      <c r="F106" s="2" t="s">
        <v>17</v>
      </c>
      <c r="G106" s="2" t="s">
        <v>26</v>
      </c>
      <c r="H106" s="2" t="s">
        <v>230</v>
      </c>
      <c r="I106">
        <v>1</v>
      </c>
      <c r="J106" s="3">
        <v>520</v>
      </c>
      <c r="K106" s="3">
        <v>300</v>
      </c>
      <c r="L106" s="3">
        <v>520</v>
      </c>
      <c r="M106" t="s">
        <v>20</v>
      </c>
      <c r="N106" s="3">
        <f>Table1[[#This Row],[Total Sales]]-(Table1[[#This Row],[Quantity]]*Table1[[#This Row],[Unit Cost]])</f>
        <v>220</v>
      </c>
      <c r="O106" s="5">
        <f>IF(Table1[[#This Row],[Total Sales]]=0,0,Table1[[#This Row],[Profit]]/Table1[[#This Row],[Total Sales]])</f>
        <v>0.42307692307692307</v>
      </c>
      <c r="P106" s="3" t="str">
        <f>TEXT(Table1[[#This Row],[Order Date]],"mmmm")</f>
        <v>April</v>
      </c>
      <c r="Q106" s="6" t="str">
        <f t="shared" si="3"/>
        <v>الربع 2</v>
      </c>
    </row>
    <row r="107" spans="1:17" x14ac:dyDescent="0.3">
      <c r="A107" t="s">
        <v>231</v>
      </c>
      <c r="B107" s="1">
        <v>45778</v>
      </c>
      <c r="C107" s="2" t="s">
        <v>42</v>
      </c>
      <c r="D107" s="2" t="s">
        <v>15</v>
      </c>
      <c r="E107" s="2" t="s">
        <v>16</v>
      </c>
      <c r="F107" s="2" t="s">
        <v>25</v>
      </c>
      <c r="G107" s="2" t="s">
        <v>39</v>
      </c>
      <c r="H107" s="2" t="s">
        <v>232</v>
      </c>
      <c r="I107">
        <v>2</v>
      </c>
      <c r="J107" s="3">
        <v>310</v>
      </c>
      <c r="K107" s="3">
        <v>170</v>
      </c>
      <c r="L107" s="3">
        <v>620</v>
      </c>
      <c r="M107" t="s">
        <v>20</v>
      </c>
      <c r="N107" s="3">
        <f>Table1[[#This Row],[Total Sales]]-(Table1[[#This Row],[Quantity]]*Table1[[#This Row],[Unit Cost]])</f>
        <v>280</v>
      </c>
      <c r="O107" s="5">
        <f>IF(Table1[[#This Row],[Total Sales]]=0,0,Table1[[#This Row],[Profit]]/Table1[[#This Row],[Total Sales]])</f>
        <v>0.45161290322580644</v>
      </c>
      <c r="P107" s="3" t="str">
        <f>TEXT(Table1[[#This Row],[Order Date]],"mmmm")</f>
        <v>May</v>
      </c>
      <c r="Q107" s="6" t="str">
        <f t="shared" si="3"/>
        <v>الربع 2</v>
      </c>
    </row>
    <row r="108" spans="1:17" x14ac:dyDescent="0.3">
      <c r="A108" t="s">
        <v>233</v>
      </c>
      <c r="B108" s="1">
        <v>45779</v>
      </c>
      <c r="C108" s="2" t="s">
        <v>45</v>
      </c>
      <c r="D108" s="2" t="s">
        <v>23</v>
      </c>
      <c r="E108" s="2" t="s">
        <v>24</v>
      </c>
      <c r="F108" s="2" t="s">
        <v>17</v>
      </c>
      <c r="G108" s="2" t="s">
        <v>18</v>
      </c>
      <c r="H108" s="2" t="s">
        <v>234</v>
      </c>
      <c r="I108">
        <v>1</v>
      </c>
      <c r="J108" s="3">
        <v>2100</v>
      </c>
      <c r="K108" s="3">
        <v>1450</v>
      </c>
      <c r="L108" s="3">
        <v>2100</v>
      </c>
      <c r="M108" t="s">
        <v>20</v>
      </c>
      <c r="N108" s="3">
        <f>Table1[[#This Row],[Total Sales]]-(Table1[[#This Row],[Quantity]]*Table1[[#This Row],[Unit Cost]])</f>
        <v>650</v>
      </c>
      <c r="O108" s="5">
        <f>IF(Table1[[#This Row],[Total Sales]]=0,0,Table1[[#This Row],[Profit]]/Table1[[#This Row],[Total Sales]])</f>
        <v>0.30952380952380953</v>
      </c>
      <c r="P108" s="3" t="str">
        <f>TEXT(Table1[[#This Row],[Order Date]],"mmmm")</f>
        <v>May</v>
      </c>
      <c r="Q108" s="6" t="str">
        <f t="shared" si="3"/>
        <v>الربع 2</v>
      </c>
    </row>
    <row r="109" spans="1:17" x14ac:dyDescent="0.3">
      <c r="A109" t="s">
        <v>235</v>
      </c>
      <c r="B109" s="1">
        <v>45780</v>
      </c>
      <c r="C109" s="2" t="s">
        <v>48</v>
      </c>
      <c r="D109" s="2" t="s">
        <v>30</v>
      </c>
      <c r="E109" s="2" t="s">
        <v>24</v>
      </c>
      <c r="F109" s="2" t="s">
        <v>25</v>
      </c>
      <c r="G109" s="2" t="s">
        <v>31</v>
      </c>
      <c r="H109" s="2" t="s">
        <v>236</v>
      </c>
      <c r="I109">
        <v>2</v>
      </c>
      <c r="J109" s="3">
        <v>260</v>
      </c>
      <c r="K109" s="3">
        <v>150</v>
      </c>
      <c r="L109" s="3">
        <v>520</v>
      </c>
      <c r="M109" t="s">
        <v>20</v>
      </c>
      <c r="N109" s="3">
        <f>Table1[[#This Row],[Total Sales]]-(Table1[[#This Row],[Quantity]]*Table1[[#This Row],[Unit Cost]])</f>
        <v>220</v>
      </c>
      <c r="O109" s="5">
        <f>IF(Table1[[#This Row],[Total Sales]]=0,0,Table1[[#This Row],[Profit]]/Table1[[#This Row],[Total Sales]])</f>
        <v>0.42307692307692307</v>
      </c>
      <c r="P109" s="3" t="str">
        <f>TEXT(Table1[[#This Row],[Order Date]],"mmmm")</f>
        <v>May</v>
      </c>
      <c r="Q109" s="6" t="str">
        <f t="shared" si="3"/>
        <v>الربع 2</v>
      </c>
    </row>
    <row r="110" spans="1:17" x14ac:dyDescent="0.3">
      <c r="A110" t="s">
        <v>237</v>
      </c>
      <c r="B110" s="1">
        <v>45781</v>
      </c>
      <c r="C110" s="2" t="s">
        <v>51</v>
      </c>
      <c r="D110" s="2" t="s">
        <v>15</v>
      </c>
      <c r="E110" s="2" t="s">
        <v>16</v>
      </c>
      <c r="F110" s="2" t="s">
        <v>17</v>
      </c>
      <c r="G110" s="2" t="s">
        <v>26</v>
      </c>
      <c r="H110" s="2" t="s">
        <v>238</v>
      </c>
      <c r="I110">
        <v>4</v>
      </c>
      <c r="J110" s="3">
        <v>120</v>
      </c>
      <c r="K110" s="3">
        <v>60</v>
      </c>
      <c r="L110" s="3">
        <v>480</v>
      </c>
      <c r="M110" t="s">
        <v>20</v>
      </c>
      <c r="N110" s="3">
        <f>Table1[[#This Row],[Total Sales]]-(Table1[[#This Row],[Quantity]]*Table1[[#This Row],[Unit Cost]])</f>
        <v>240</v>
      </c>
      <c r="O110" s="5">
        <f>IF(Table1[[#This Row],[Total Sales]]=0,0,Table1[[#This Row],[Profit]]/Table1[[#This Row],[Total Sales]])</f>
        <v>0.5</v>
      </c>
      <c r="P110" s="3" t="str">
        <f>TEXT(Table1[[#This Row],[Order Date]],"mmmm")</f>
        <v>May</v>
      </c>
      <c r="Q110" s="6" t="str">
        <f t="shared" si="3"/>
        <v>الربع 2</v>
      </c>
    </row>
    <row r="111" spans="1:17" x14ac:dyDescent="0.3">
      <c r="A111" t="s">
        <v>239</v>
      </c>
      <c r="B111" s="1">
        <v>45782</v>
      </c>
      <c r="C111" s="2" t="s">
        <v>54</v>
      </c>
      <c r="D111" s="2" t="s">
        <v>23</v>
      </c>
      <c r="E111" s="2" t="s">
        <v>24</v>
      </c>
      <c r="F111" s="2" t="s">
        <v>25</v>
      </c>
      <c r="G111" s="2" t="s">
        <v>39</v>
      </c>
      <c r="H111" s="2" t="s">
        <v>240</v>
      </c>
      <c r="I111">
        <v>5</v>
      </c>
      <c r="J111" s="3">
        <v>95</v>
      </c>
      <c r="K111" s="3">
        <v>50</v>
      </c>
      <c r="L111" s="3">
        <v>475</v>
      </c>
      <c r="M111" t="s">
        <v>20</v>
      </c>
      <c r="N111" s="3">
        <f>Table1[[#This Row],[Total Sales]]-(Table1[[#This Row],[Quantity]]*Table1[[#This Row],[Unit Cost]])</f>
        <v>225</v>
      </c>
      <c r="O111" s="5">
        <f>IF(Table1[[#This Row],[Total Sales]]=0,0,Table1[[#This Row],[Profit]]/Table1[[#This Row],[Total Sales]])</f>
        <v>0.47368421052631576</v>
      </c>
      <c r="P111" s="3" t="str">
        <f>TEXT(Table1[[#This Row],[Order Date]],"mmmm")</f>
        <v>May</v>
      </c>
      <c r="Q111" s="6" t="str">
        <f t="shared" si="3"/>
        <v>الربع 2</v>
      </c>
    </row>
    <row r="112" spans="1:17" x14ac:dyDescent="0.3">
      <c r="A112" t="s">
        <v>241</v>
      </c>
      <c r="B112" s="1">
        <v>45783</v>
      </c>
      <c r="C112" s="2" t="s">
        <v>14</v>
      </c>
      <c r="D112" s="2" t="s">
        <v>15</v>
      </c>
      <c r="E112" s="2" t="s">
        <v>16</v>
      </c>
      <c r="F112" s="2" t="s">
        <v>17</v>
      </c>
      <c r="G112" s="2" t="s">
        <v>18</v>
      </c>
      <c r="H112" s="2" t="s">
        <v>242</v>
      </c>
      <c r="I112">
        <v>1</v>
      </c>
      <c r="J112" s="3">
        <v>799</v>
      </c>
      <c r="K112" s="3">
        <v>480</v>
      </c>
      <c r="L112" s="3">
        <v>799</v>
      </c>
      <c r="M112" t="s">
        <v>20</v>
      </c>
      <c r="N112" s="3">
        <f>Table1[[#This Row],[Total Sales]]-(Table1[[#This Row],[Quantity]]*Table1[[#This Row],[Unit Cost]])</f>
        <v>319</v>
      </c>
      <c r="O112" s="5">
        <f>IF(Table1[[#This Row],[Total Sales]]=0,0,Table1[[#This Row],[Profit]]/Table1[[#This Row],[Total Sales]])</f>
        <v>0.39924906132665833</v>
      </c>
      <c r="P112" s="3" t="str">
        <f>TEXT(Table1[[#This Row],[Order Date]],"mmmm")</f>
        <v>May</v>
      </c>
      <c r="Q112" s="6" t="str">
        <f t="shared" si="3"/>
        <v>الربع 2</v>
      </c>
    </row>
    <row r="113" spans="1:17" x14ac:dyDescent="0.3">
      <c r="A113" t="s">
        <v>243</v>
      </c>
      <c r="B113" s="1">
        <v>45784</v>
      </c>
      <c r="C113" s="2" t="s">
        <v>22</v>
      </c>
      <c r="D113" s="2" t="s">
        <v>23</v>
      </c>
      <c r="E113" s="2" t="s">
        <v>24</v>
      </c>
      <c r="F113" s="2" t="s">
        <v>25</v>
      </c>
      <c r="G113" s="2" t="s">
        <v>31</v>
      </c>
      <c r="H113" s="2" t="s">
        <v>244</v>
      </c>
      <c r="I113">
        <v>1</v>
      </c>
      <c r="J113" s="3">
        <v>420</v>
      </c>
      <c r="K113" s="3">
        <v>240</v>
      </c>
      <c r="L113" s="3">
        <v>420</v>
      </c>
      <c r="M113" t="s">
        <v>20</v>
      </c>
      <c r="N113" s="3">
        <f>Table1[[#This Row],[Total Sales]]-(Table1[[#This Row],[Quantity]]*Table1[[#This Row],[Unit Cost]])</f>
        <v>180</v>
      </c>
      <c r="O113" s="5">
        <f>IF(Table1[[#This Row],[Total Sales]]=0,0,Table1[[#This Row],[Profit]]/Table1[[#This Row],[Total Sales]])</f>
        <v>0.42857142857142855</v>
      </c>
      <c r="P113" s="3" t="str">
        <f>TEXT(Table1[[#This Row],[Order Date]],"mmmm")</f>
        <v>May</v>
      </c>
      <c r="Q113" s="6" t="str">
        <f t="shared" si="3"/>
        <v>الربع 2</v>
      </c>
    </row>
    <row r="114" spans="1:17" x14ac:dyDescent="0.3">
      <c r="A114" t="s">
        <v>245</v>
      </c>
      <c r="B114" s="1">
        <v>45785</v>
      </c>
      <c r="C114" s="2" t="s">
        <v>29</v>
      </c>
      <c r="D114" s="2" t="s">
        <v>30</v>
      </c>
      <c r="E114" s="2" t="s">
        <v>16</v>
      </c>
      <c r="F114" s="2" t="s">
        <v>17</v>
      </c>
      <c r="G114" s="2" t="s">
        <v>26</v>
      </c>
      <c r="H114" s="2" t="s">
        <v>246</v>
      </c>
      <c r="I114">
        <v>1</v>
      </c>
      <c r="J114" s="3">
        <v>1450</v>
      </c>
      <c r="K114" s="3">
        <v>850</v>
      </c>
      <c r="L114" s="3">
        <v>1450</v>
      </c>
      <c r="M114" t="s">
        <v>20</v>
      </c>
      <c r="N114" s="3">
        <f>Table1[[#This Row],[Total Sales]]-(Table1[[#This Row],[Quantity]]*Table1[[#This Row],[Unit Cost]])</f>
        <v>600</v>
      </c>
      <c r="O114" s="5">
        <f>IF(Table1[[#This Row],[Total Sales]]=0,0,Table1[[#This Row],[Profit]]/Table1[[#This Row],[Total Sales]])</f>
        <v>0.41379310344827586</v>
      </c>
      <c r="P114" s="3" t="str">
        <f>TEXT(Table1[[#This Row],[Order Date]],"mmmm")</f>
        <v>May</v>
      </c>
      <c r="Q114" s="6" t="str">
        <f t="shared" si="3"/>
        <v>الربع 2</v>
      </c>
    </row>
    <row r="115" spans="1:17" x14ac:dyDescent="0.3">
      <c r="A115" t="s">
        <v>247</v>
      </c>
      <c r="B115" s="1">
        <v>45786</v>
      </c>
      <c r="C115" s="2" t="s">
        <v>34</v>
      </c>
      <c r="D115" s="2" t="s">
        <v>15</v>
      </c>
      <c r="E115" s="2" t="s">
        <v>24</v>
      </c>
      <c r="F115" s="2" t="s">
        <v>25</v>
      </c>
      <c r="G115" s="2" t="s">
        <v>39</v>
      </c>
      <c r="H115" s="2" t="s">
        <v>248</v>
      </c>
      <c r="I115">
        <v>8</v>
      </c>
      <c r="J115" s="3">
        <v>55</v>
      </c>
      <c r="K115" s="3">
        <v>25</v>
      </c>
      <c r="L115" s="3">
        <v>440</v>
      </c>
      <c r="M115" t="s">
        <v>20</v>
      </c>
      <c r="N115" s="3">
        <f>Table1[[#This Row],[Total Sales]]-(Table1[[#This Row],[Quantity]]*Table1[[#This Row],[Unit Cost]])</f>
        <v>240</v>
      </c>
      <c r="O115" s="5">
        <f>IF(Table1[[#This Row],[Total Sales]]=0,0,Table1[[#This Row],[Profit]]/Table1[[#This Row],[Total Sales]])</f>
        <v>0.54545454545454541</v>
      </c>
      <c r="P115" s="3" t="str">
        <f>TEXT(Table1[[#This Row],[Order Date]],"mmmm")</f>
        <v>May</v>
      </c>
      <c r="Q115" s="6" t="str">
        <f t="shared" si="3"/>
        <v>الربع 2</v>
      </c>
    </row>
    <row r="116" spans="1:17" x14ac:dyDescent="0.3">
      <c r="A116" t="s">
        <v>249</v>
      </c>
      <c r="B116" s="1">
        <v>45787</v>
      </c>
      <c r="C116" s="2" t="s">
        <v>37</v>
      </c>
      <c r="D116" s="2" t="s">
        <v>38</v>
      </c>
      <c r="E116" s="2" t="s">
        <v>16</v>
      </c>
      <c r="F116" s="2" t="s">
        <v>17</v>
      </c>
      <c r="G116" s="2" t="s">
        <v>18</v>
      </c>
      <c r="H116" s="2" t="s">
        <v>250</v>
      </c>
      <c r="I116">
        <v>2</v>
      </c>
      <c r="J116" s="3">
        <v>350</v>
      </c>
      <c r="K116" s="3">
        <v>190</v>
      </c>
      <c r="L116" s="3">
        <v>700</v>
      </c>
      <c r="M116" t="s">
        <v>20</v>
      </c>
      <c r="N116" s="3">
        <f>Table1[[#This Row],[Total Sales]]-(Table1[[#This Row],[Quantity]]*Table1[[#This Row],[Unit Cost]])</f>
        <v>320</v>
      </c>
      <c r="O116" s="5">
        <f>IF(Table1[[#This Row],[Total Sales]]=0,0,Table1[[#This Row],[Profit]]/Table1[[#This Row],[Total Sales]])</f>
        <v>0.45714285714285713</v>
      </c>
      <c r="P116" s="3" t="str">
        <f>TEXT(Table1[[#This Row],[Order Date]],"mmmm")</f>
        <v>May</v>
      </c>
      <c r="Q116" s="6" t="str">
        <f t="shared" si="3"/>
        <v>الربع 2</v>
      </c>
    </row>
    <row r="117" spans="1:17" x14ac:dyDescent="0.3">
      <c r="A117" t="s">
        <v>251</v>
      </c>
      <c r="B117" s="1">
        <v>45966</v>
      </c>
      <c r="C117" s="2" t="s">
        <v>42</v>
      </c>
      <c r="D117" s="2" t="s">
        <v>15</v>
      </c>
      <c r="E117" s="2" t="s">
        <v>16</v>
      </c>
      <c r="F117" s="2" t="s">
        <v>25</v>
      </c>
      <c r="G117" s="2" t="s">
        <v>31</v>
      </c>
      <c r="H117" s="2" t="s">
        <v>252</v>
      </c>
      <c r="I117">
        <v>2</v>
      </c>
      <c r="J117" s="3">
        <v>210</v>
      </c>
      <c r="K117" s="3">
        <v>115</v>
      </c>
      <c r="L117" s="3">
        <v>420</v>
      </c>
      <c r="M117" t="s">
        <v>20</v>
      </c>
      <c r="N117" s="3">
        <f>Table1[[#This Row],[Total Sales]]-(Table1[[#This Row],[Quantity]]*Table1[[#This Row],[Unit Cost]])</f>
        <v>190</v>
      </c>
      <c r="O117" s="5">
        <f>IF(Table1[[#This Row],[Total Sales]]=0,0,Table1[[#This Row],[Profit]]/Table1[[#This Row],[Total Sales]])</f>
        <v>0.45238095238095238</v>
      </c>
      <c r="P117" s="3" t="str">
        <f>TEXT(Table1[[#This Row],[Order Date]],"mmmm")</f>
        <v>November</v>
      </c>
      <c r="Q117" s="6" t="str">
        <f t="shared" si="3"/>
        <v>الربع 4</v>
      </c>
    </row>
    <row r="118" spans="1:17" x14ac:dyDescent="0.3">
      <c r="A118" t="s">
        <v>253</v>
      </c>
      <c r="B118" s="1">
        <v>45789</v>
      </c>
      <c r="C118" s="2" t="s">
        <v>45</v>
      </c>
      <c r="D118" s="2" t="s">
        <v>23</v>
      </c>
      <c r="E118" s="2" t="s">
        <v>24</v>
      </c>
      <c r="F118" s="2" t="s">
        <v>17</v>
      </c>
      <c r="G118" s="2" t="s">
        <v>26</v>
      </c>
      <c r="H118" s="2" t="s">
        <v>254</v>
      </c>
      <c r="I118">
        <v>1</v>
      </c>
      <c r="J118" s="3">
        <v>1200</v>
      </c>
      <c r="K118" s="3">
        <v>680</v>
      </c>
      <c r="L118" s="3">
        <v>1200</v>
      </c>
      <c r="M118" t="s">
        <v>20</v>
      </c>
      <c r="N118" s="3">
        <f>Table1[[#This Row],[Total Sales]]-(Table1[[#This Row],[Quantity]]*Table1[[#This Row],[Unit Cost]])</f>
        <v>520</v>
      </c>
      <c r="O118" s="5">
        <f>IF(Table1[[#This Row],[Total Sales]]=0,0,Table1[[#This Row],[Profit]]/Table1[[#This Row],[Total Sales]])</f>
        <v>0.43333333333333335</v>
      </c>
      <c r="P118" s="3" t="str">
        <f>TEXT(Table1[[#This Row],[Order Date]],"mmmm")</f>
        <v>May</v>
      </c>
      <c r="Q118" s="6" t="str">
        <f t="shared" si="3"/>
        <v>الربع 2</v>
      </c>
    </row>
    <row r="119" spans="1:17" x14ac:dyDescent="0.3">
      <c r="A119" t="s">
        <v>255</v>
      </c>
      <c r="B119" s="1">
        <v>45790</v>
      </c>
      <c r="C119" s="2" t="s">
        <v>48</v>
      </c>
      <c r="D119" s="2" t="s">
        <v>30</v>
      </c>
      <c r="E119" s="2" t="s">
        <v>24</v>
      </c>
      <c r="F119" s="2" t="s">
        <v>25</v>
      </c>
      <c r="G119" s="2" t="s">
        <v>39</v>
      </c>
      <c r="H119" s="2" t="s">
        <v>256</v>
      </c>
      <c r="I119">
        <v>1</v>
      </c>
      <c r="J119" s="3">
        <v>1450</v>
      </c>
      <c r="K119" s="3">
        <v>920</v>
      </c>
      <c r="L119" s="3">
        <v>1450</v>
      </c>
      <c r="M119" t="s">
        <v>20</v>
      </c>
      <c r="N119" s="3">
        <f>Table1[[#This Row],[Total Sales]]-(Table1[[#This Row],[Quantity]]*Table1[[#This Row],[Unit Cost]])</f>
        <v>530</v>
      </c>
      <c r="O119" s="5">
        <f>IF(Table1[[#This Row],[Total Sales]]=0,0,Table1[[#This Row],[Profit]]/Table1[[#This Row],[Total Sales]])</f>
        <v>0.36551724137931035</v>
      </c>
      <c r="P119" s="3" t="str">
        <f>TEXT(Table1[[#This Row],[Order Date]],"mmmm")</f>
        <v>May</v>
      </c>
      <c r="Q119" s="6" t="str">
        <f t="shared" si="3"/>
        <v>الربع 2</v>
      </c>
    </row>
    <row r="120" spans="1:17" x14ac:dyDescent="0.3">
      <c r="A120" t="s">
        <v>257</v>
      </c>
      <c r="B120" s="1">
        <v>45791</v>
      </c>
      <c r="C120" s="2" t="s">
        <v>51</v>
      </c>
      <c r="D120" s="2" t="s">
        <v>15</v>
      </c>
      <c r="E120" s="2" t="s">
        <v>16</v>
      </c>
      <c r="F120" s="2" t="s">
        <v>17</v>
      </c>
      <c r="G120" s="2" t="s">
        <v>18</v>
      </c>
      <c r="H120" s="2" t="s">
        <v>258</v>
      </c>
      <c r="I120">
        <v>2</v>
      </c>
      <c r="J120" s="3">
        <v>250</v>
      </c>
      <c r="K120" s="3">
        <v>130</v>
      </c>
      <c r="L120" s="3">
        <v>500</v>
      </c>
      <c r="M120" t="s">
        <v>20</v>
      </c>
      <c r="N120" s="3">
        <f>Table1[[#This Row],[Total Sales]]-(Table1[[#This Row],[Quantity]]*Table1[[#This Row],[Unit Cost]])</f>
        <v>240</v>
      </c>
      <c r="O120" s="5">
        <f>IF(Table1[[#This Row],[Total Sales]]=0,0,Table1[[#This Row],[Profit]]/Table1[[#This Row],[Total Sales]])</f>
        <v>0.48</v>
      </c>
      <c r="P120" s="3" t="str">
        <f>TEXT(Table1[[#This Row],[Order Date]],"mmmm")</f>
        <v>May</v>
      </c>
      <c r="Q120" s="6" t="str">
        <f t="shared" si="3"/>
        <v>الربع 2</v>
      </c>
    </row>
    <row r="121" spans="1:17" x14ac:dyDescent="0.3">
      <c r="A121" t="s">
        <v>259</v>
      </c>
      <c r="B121" s="1">
        <v>45792</v>
      </c>
      <c r="C121" s="2" t="s">
        <v>54</v>
      </c>
      <c r="D121" s="2" t="s">
        <v>23</v>
      </c>
      <c r="E121" s="2" t="s">
        <v>24</v>
      </c>
      <c r="F121" s="2" t="s">
        <v>25</v>
      </c>
      <c r="G121" s="2" t="s">
        <v>31</v>
      </c>
      <c r="H121" s="2" t="s">
        <v>260</v>
      </c>
      <c r="I121">
        <v>1</v>
      </c>
      <c r="J121" s="3">
        <v>4200</v>
      </c>
      <c r="K121" s="3">
        <v>3100</v>
      </c>
      <c r="L121" s="3">
        <v>4200</v>
      </c>
      <c r="M121" t="s">
        <v>20</v>
      </c>
      <c r="N121" s="3">
        <f>Table1[[#This Row],[Total Sales]]-(Table1[[#This Row],[Quantity]]*Table1[[#This Row],[Unit Cost]])</f>
        <v>1100</v>
      </c>
      <c r="O121" s="5">
        <f>IF(Table1[[#This Row],[Total Sales]]=0,0,Table1[[#This Row],[Profit]]/Table1[[#This Row],[Total Sales]])</f>
        <v>0.26190476190476192</v>
      </c>
      <c r="P121" s="3" t="str">
        <f>TEXT(Table1[[#This Row],[Order Date]],"mmmm")</f>
        <v>May</v>
      </c>
      <c r="Q121" s="6" t="str">
        <f t="shared" si="3"/>
        <v>الربع 2</v>
      </c>
    </row>
    <row r="122" spans="1:17" x14ac:dyDescent="0.3">
      <c r="A122" t="s">
        <v>261</v>
      </c>
      <c r="B122" s="1">
        <v>45793</v>
      </c>
      <c r="C122" s="2" t="s">
        <v>14</v>
      </c>
      <c r="D122" s="2" t="s">
        <v>15</v>
      </c>
      <c r="E122" s="2" t="s">
        <v>16</v>
      </c>
      <c r="F122" s="2" t="s">
        <v>17</v>
      </c>
      <c r="G122" s="2" t="s">
        <v>26</v>
      </c>
      <c r="H122" s="2" t="s">
        <v>262</v>
      </c>
      <c r="I122">
        <v>1</v>
      </c>
      <c r="J122" s="3">
        <v>780</v>
      </c>
      <c r="K122" s="3">
        <v>450</v>
      </c>
      <c r="L122" s="3">
        <v>780</v>
      </c>
      <c r="M122" t="s">
        <v>20</v>
      </c>
      <c r="N122" s="3">
        <f>Table1[[#This Row],[Total Sales]]-(Table1[[#This Row],[Quantity]]*Table1[[#This Row],[Unit Cost]])</f>
        <v>330</v>
      </c>
      <c r="O122" s="5">
        <f>IF(Table1[[#This Row],[Total Sales]]=0,0,Table1[[#This Row],[Profit]]/Table1[[#This Row],[Total Sales]])</f>
        <v>0.42307692307692307</v>
      </c>
      <c r="P122" s="3" t="str">
        <f>TEXT(Table1[[#This Row],[Order Date]],"mmmm")</f>
        <v>May</v>
      </c>
      <c r="Q122" s="6" t="str">
        <f t="shared" si="3"/>
        <v>الربع 2</v>
      </c>
    </row>
    <row r="123" spans="1:17" x14ac:dyDescent="0.3">
      <c r="A123" t="s">
        <v>263</v>
      </c>
      <c r="B123" s="1">
        <v>45794</v>
      </c>
      <c r="C123" s="2" t="s">
        <v>22</v>
      </c>
      <c r="D123" s="2" t="s">
        <v>23</v>
      </c>
      <c r="E123" s="2" t="s">
        <v>377</v>
      </c>
      <c r="F123" s="2" t="s">
        <v>25</v>
      </c>
      <c r="G123" s="2" t="s">
        <v>39</v>
      </c>
      <c r="H123" s="2" t="s">
        <v>264</v>
      </c>
      <c r="I123">
        <v>1</v>
      </c>
      <c r="J123" s="3">
        <v>2200</v>
      </c>
      <c r="K123" s="3">
        <v>1400</v>
      </c>
      <c r="L123" s="3">
        <v>2200</v>
      </c>
      <c r="M123" t="s">
        <v>20</v>
      </c>
      <c r="N123" s="3">
        <f>Table1[[#This Row],[Total Sales]]-(Table1[[#This Row],[Quantity]]*Table1[[#This Row],[Unit Cost]])</f>
        <v>800</v>
      </c>
      <c r="O123" s="5">
        <f>IF(Table1[[#This Row],[Total Sales]]=0,0,Table1[[#This Row],[Profit]]/Table1[[#This Row],[Total Sales]])</f>
        <v>0.36363636363636365</v>
      </c>
      <c r="P123" s="3" t="str">
        <f>TEXT(Table1[[#This Row],[Order Date]],"mmmm")</f>
        <v>May</v>
      </c>
      <c r="Q123" s="6" t="str">
        <f t="shared" si="3"/>
        <v>الربع 2</v>
      </c>
    </row>
    <row r="124" spans="1:17" x14ac:dyDescent="0.3">
      <c r="A124" t="s">
        <v>265</v>
      </c>
      <c r="B124" s="1">
        <v>45795</v>
      </c>
      <c r="C124" s="2" t="s">
        <v>29</v>
      </c>
      <c r="D124" s="2" t="s">
        <v>30</v>
      </c>
      <c r="E124" s="2" t="s">
        <v>16</v>
      </c>
      <c r="F124" s="2" t="s">
        <v>17</v>
      </c>
      <c r="G124" s="2" t="s">
        <v>18</v>
      </c>
      <c r="H124" s="2" t="s">
        <v>266</v>
      </c>
      <c r="I124">
        <v>1</v>
      </c>
      <c r="J124" s="3">
        <v>4500</v>
      </c>
      <c r="K124" s="3">
        <v>3200</v>
      </c>
      <c r="L124" s="3">
        <v>4500</v>
      </c>
      <c r="M124" t="s">
        <v>20</v>
      </c>
      <c r="N124" s="3">
        <f>Table1[[#This Row],[Total Sales]]-(Table1[[#This Row],[Quantity]]*Table1[[#This Row],[Unit Cost]])</f>
        <v>1300</v>
      </c>
      <c r="O124" s="5">
        <f>IF(Table1[[#This Row],[Total Sales]]=0,0,Table1[[#This Row],[Profit]]/Table1[[#This Row],[Total Sales]])</f>
        <v>0.28888888888888886</v>
      </c>
      <c r="P124" s="3" t="str">
        <f>TEXT(Table1[[#This Row],[Order Date]],"mmmm")</f>
        <v>May</v>
      </c>
      <c r="Q124" s="6" t="str">
        <f t="shared" si="3"/>
        <v>الربع 2</v>
      </c>
    </row>
    <row r="125" spans="1:17" x14ac:dyDescent="0.3">
      <c r="A125" t="s">
        <v>267</v>
      </c>
      <c r="B125" s="1">
        <v>45796</v>
      </c>
      <c r="C125" s="2" t="s">
        <v>34</v>
      </c>
      <c r="D125" s="2" t="s">
        <v>15</v>
      </c>
      <c r="E125" s="2" t="s">
        <v>24</v>
      </c>
      <c r="F125" s="2" t="s">
        <v>25</v>
      </c>
      <c r="G125" s="2" t="s">
        <v>31</v>
      </c>
      <c r="H125" s="2" t="s">
        <v>268</v>
      </c>
      <c r="I125">
        <v>1</v>
      </c>
      <c r="J125" s="3">
        <v>5200</v>
      </c>
      <c r="K125" s="3">
        <v>3800</v>
      </c>
      <c r="L125" s="3">
        <v>5200</v>
      </c>
      <c r="M125" t="s">
        <v>20</v>
      </c>
      <c r="N125" s="3">
        <f>Table1[[#This Row],[Total Sales]]-(Table1[[#This Row],[Quantity]]*Table1[[#This Row],[Unit Cost]])</f>
        <v>1400</v>
      </c>
      <c r="O125" s="5">
        <f>IF(Table1[[#This Row],[Total Sales]]=0,0,Table1[[#This Row],[Profit]]/Table1[[#This Row],[Total Sales]])</f>
        <v>0.26923076923076922</v>
      </c>
      <c r="P125" s="3" t="str">
        <f>TEXT(Table1[[#This Row],[Order Date]],"mmmm")</f>
        <v>May</v>
      </c>
      <c r="Q125" s="6" t="str">
        <f t="shared" si="3"/>
        <v>الربع 2</v>
      </c>
    </row>
    <row r="126" spans="1:17" x14ac:dyDescent="0.3">
      <c r="A126" t="s">
        <v>269</v>
      </c>
      <c r="B126" s="1">
        <v>45797</v>
      </c>
      <c r="C126" s="2" t="s">
        <v>37</v>
      </c>
      <c r="D126" s="2" t="s">
        <v>38</v>
      </c>
      <c r="E126" s="2" t="s">
        <v>16</v>
      </c>
      <c r="F126" s="2" t="s">
        <v>17</v>
      </c>
      <c r="G126" s="2" t="s">
        <v>26</v>
      </c>
      <c r="H126" s="2" t="s">
        <v>270</v>
      </c>
      <c r="I126">
        <v>1</v>
      </c>
      <c r="J126" s="3">
        <v>1450</v>
      </c>
      <c r="K126" s="3">
        <v>850</v>
      </c>
      <c r="L126" s="3">
        <v>1450</v>
      </c>
      <c r="M126" t="s">
        <v>20</v>
      </c>
      <c r="N126" s="3">
        <f>Table1[[#This Row],[Total Sales]]-(Table1[[#This Row],[Quantity]]*Table1[[#This Row],[Unit Cost]])</f>
        <v>600</v>
      </c>
      <c r="O126" s="5">
        <f>IF(Table1[[#This Row],[Total Sales]]=0,0,Table1[[#This Row],[Profit]]/Table1[[#This Row],[Total Sales]])</f>
        <v>0.41379310344827586</v>
      </c>
      <c r="P126" s="3" t="str">
        <f>TEXT(Table1[[#This Row],[Order Date]],"mmmm")</f>
        <v>May</v>
      </c>
      <c r="Q126" s="6" t="str">
        <f t="shared" si="3"/>
        <v>الربع 2</v>
      </c>
    </row>
    <row r="127" spans="1:17" x14ac:dyDescent="0.3">
      <c r="A127" t="s">
        <v>271</v>
      </c>
      <c r="B127" s="1">
        <v>45798</v>
      </c>
      <c r="C127" s="2" t="s">
        <v>42</v>
      </c>
      <c r="D127" s="2" t="s">
        <v>15</v>
      </c>
      <c r="E127" s="2" t="s">
        <v>16</v>
      </c>
      <c r="F127" s="2" t="s">
        <v>25</v>
      </c>
      <c r="G127" s="2" t="s">
        <v>39</v>
      </c>
      <c r="H127" s="2" t="s">
        <v>272</v>
      </c>
      <c r="I127">
        <v>3</v>
      </c>
      <c r="J127" s="3">
        <v>280</v>
      </c>
      <c r="K127" s="3">
        <v>150</v>
      </c>
      <c r="L127" s="3">
        <v>840</v>
      </c>
      <c r="M127" t="s">
        <v>20</v>
      </c>
      <c r="N127" s="3">
        <f>Table1[[#This Row],[Total Sales]]-(Table1[[#This Row],[Quantity]]*Table1[[#This Row],[Unit Cost]])</f>
        <v>390</v>
      </c>
      <c r="O127" s="5">
        <f>IF(Table1[[#This Row],[Total Sales]]=0,0,Table1[[#This Row],[Profit]]/Table1[[#This Row],[Total Sales]])</f>
        <v>0.4642857142857143</v>
      </c>
      <c r="P127" s="3" t="str">
        <f>TEXT(Table1[[#This Row],[Order Date]],"mmmm")</f>
        <v>May</v>
      </c>
      <c r="Q127" s="6" t="str">
        <f t="shared" si="3"/>
        <v>الربع 2</v>
      </c>
    </row>
    <row r="128" spans="1:17" x14ac:dyDescent="0.3">
      <c r="A128" t="s">
        <v>273</v>
      </c>
      <c r="B128" s="1">
        <v>45799</v>
      </c>
      <c r="C128" s="2" t="s">
        <v>45</v>
      </c>
      <c r="D128" s="2" t="s">
        <v>23</v>
      </c>
      <c r="E128" s="2" t="s">
        <v>24</v>
      </c>
      <c r="F128" s="2" t="s">
        <v>17</v>
      </c>
      <c r="G128" s="2" t="s">
        <v>18</v>
      </c>
      <c r="H128" s="2" t="s">
        <v>274</v>
      </c>
      <c r="I128">
        <v>1</v>
      </c>
      <c r="J128" s="3">
        <v>3500</v>
      </c>
      <c r="K128" s="3">
        <v>2450</v>
      </c>
      <c r="L128" s="3">
        <v>3500</v>
      </c>
      <c r="M128" t="s">
        <v>20</v>
      </c>
      <c r="N128" s="3">
        <f>Table1[[#This Row],[Total Sales]]-(Table1[[#This Row],[Quantity]]*Table1[[#This Row],[Unit Cost]])</f>
        <v>1050</v>
      </c>
      <c r="O128" s="5">
        <f>IF(Table1[[#This Row],[Total Sales]]=0,0,Table1[[#This Row],[Profit]]/Table1[[#This Row],[Total Sales]])</f>
        <v>0.3</v>
      </c>
      <c r="P128" s="3" t="str">
        <f>TEXT(Table1[[#This Row],[Order Date]],"mmmm")</f>
        <v>May</v>
      </c>
      <c r="Q128" s="6" t="str">
        <f t="shared" si="3"/>
        <v>الربع 2</v>
      </c>
    </row>
    <row r="129" spans="1:17" x14ac:dyDescent="0.3">
      <c r="A129" t="s">
        <v>275</v>
      </c>
      <c r="B129" s="1">
        <v>45800</v>
      </c>
      <c r="C129" s="2" t="s">
        <v>48</v>
      </c>
      <c r="D129" s="2" t="s">
        <v>30</v>
      </c>
      <c r="E129" s="2" t="s">
        <v>24</v>
      </c>
      <c r="F129" s="2" t="s">
        <v>25</v>
      </c>
      <c r="G129" s="2" t="s">
        <v>31</v>
      </c>
      <c r="H129" s="2" t="s">
        <v>276</v>
      </c>
      <c r="I129">
        <v>1</v>
      </c>
      <c r="J129" s="3">
        <v>3800</v>
      </c>
      <c r="K129" s="3">
        <v>2800</v>
      </c>
      <c r="L129" s="3">
        <v>3800</v>
      </c>
      <c r="M129" t="s">
        <v>20</v>
      </c>
      <c r="N129" s="3">
        <f>Table1[[#This Row],[Total Sales]]-(Table1[[#This Row],[Quantity]]*Table1[[#This Row],[Unit Cost]])</f>
        <v>1000</v>
      </c>
      <c r="O129" s="5">
        <f>IF(Table1[[#This Row],[Total Sales]]=0,0,Table1[[#This Row],[Profit]]/Table1[[#This Row],[Total Sales]])</f>
        <v>0.26315789473684209</v>
      </c>
      <c r="P129" s="3" t="str">
        <f>TEXT(Table1[[#This Row],[Order Date]],"mmmm")</f>
        <v>May</v>
      </c>
      <c r="Q129" s="6" t="str">
        <f t="shared" si="3"/>
        <v>الربع 2</v>
      </c>
    </row>
    <row r="130" spans="1:17" x14ac:dyDescent="0.3">
      <c r="A130" t="s">
        <v>277</v>
      </c>
      <c r="B130" s="1">
        <v>45801</v>
      </c>
      <c r="C130" s="2" t="s">
        <v>51</v>
      </c>
      <c r="D130" s="2" t="s">
        <v>15</v>
      </c>
      <c r="E130" s="2" t="s">
        <v>16</v>
      </c>
      <c r="F130" s="2" t="s">
        <v>17</v>
      </c>
      <c r="G130" s="2" t="s">
        <v>26</v>
      </c>
      <c r="H130" s="2" t="s">
        <v>278</v>
      </c>
      <c r="I130">
        <v>4</v>
      </c>
      <c r="J130" s="3">
        <v>180</v>
      </c>
      <c r="K130" s="3">
        <v>90</v>
      </c>
      <c r="L130" s="3">
        <v>720</v>
      </c>
      <c r="M130" t="s">
        <v>20</v>
      </c>
      <c r="N130" s="3">
        <f>Table1[[#This Row],[Total Sales]]-(Table1[[#This Row],[Quantity]]*Table1[[#This Row],[Unit Cost]])</f>
        <v>360</v>
      </c>
      <c r="O130" s="5">
        <f>IF(Table1[[#This Row],[Total Sales]]=0,0,Table1[[#This Row],[Profit]]/Table1[[#This Row],[Total Sales]])</f>
        <v>0.5</v>
      </c>
      <c r="P130" s="3" t="str">
        <f>TEXT(Table1[[#This Row],[Order Date]],"mmmm")</f>
        <v>May</v>
      </c>
      <c r="Q130" s="6" t="str">
        <f t="shared" ref="Q130:Q161" si="4">"الربع "&amp;ROUNDUP(MONTH(B130)/3,0)</f>
        <v>الربع 2</v>
      </c>
    </row>
    <row r="131" spans="1:17" x14ac:dyDescent="0.3">
      <c r="A131" t="s">
        <v>279</v>
      </c>
      <c r="B131" s="1">
        <v>45802</v>
      </c>
      <c r="C131" s="2" t="s">
        <v>54</v>
      </c>
      <c r="D131" s="2" t="s">
        <v>23</v>
      </c>
      <c r="E131" s="2" t="s">
        <v>24</v>
      </c>
      <c r="F131" s="2" t="s">
        <v>25</v>
      </c>
      <c r="G131" s="2" t="s">
        <v>39</v>
      </c>
      <c r="H131" s="2" t="s">
        <v>280</v>
      </c>
      <c r="I131">
        <v>1</v>
      </c>
      <c r="J131" s="3">
        <v>1200</v>
      </c>
      <c r="K131" s="3">
        <v>750</v>
      </c>
      <c r="L131" s="3">
        <v>1200</v>
      </c>
      <c r="M131" t="s">
        <v>20</v>
      </c>
      <c r="N131" s="3">
        <f>Table1[[#This Row],[Total Sales]]-(Table1[[#This Row],[Quantity]]*Table1[[#This Row],[Unit Cost]])</f>
        <v>450</v>
      </c>
      <c r="O131" s="5">
        <f>IF(Table1[[#This Row],[Total Sales]]=0,0,Table1[[#This Row],[Profit]]/Table1[[#This Row],[Total Sales]])</f>
        <v>0.375</v>
      </c>
      <c r="P131" s="3" t="str">
        <f>TEXT(Table1[[#This Row],[Order Date]],"mmmm")</f>
        <v>May</v>
      </c>
      <c r="Q131" s="6" t="str">
        <f t="shared" si="4"/>
        <v>الربع 2</v>
      </c>
    </row>
    <row r="132" spans="1:17" x14ac:dyDescent="0.3">
      <c r="A132" t="s">
        <v>281</v>
      </c>
      <c r="B132" s="1">
        <v>45803</v>
      </c>
      <c r="C132" s="2" t="s">
        <v>14</v>
      </c>
      <c r="D132" s="2" t="s">
        <v>15</v>
      </c>
      <c r="E132" s="2" t="s">
        <v>16</v>
      </c>
      <c r="F132" s="2" t="s">
        <v>17</v>
      </c>
      <c r="G132" s="2" t="s">
        <v>18</v>
      </c>
      <c r="H132" s="2" t="s">
        <v>19</v>
      </c>
      <c r="I132">
        <v>1</v>
      </c>
      <c r="J132" s="3">
        <v>3600</v>
      </c>
      <c r="K132" s="3">
        <v>2750</v>
      </c>
      <c r="L132" s="3">
        <v>3600</v>
      </c>
      <c r="M132" t="s">
        <v>20</v>
      </c>
      <c r="N132" s="3">
        <f>Table1[[#This Row],[Total Sales]]-(Table1[[#This Row],[Quantity]]*Table1[[#This Row],[Unit Cost]])</f>
        <v>850</v>
      </c>
      <c r="O132" s="5">
        <f>IF(Table1[[#This Row],[Total Sales]]=0,0,Table1[[#This Row],[Profit]]/Table1[[#This Row],[Total Sales]])</f>
        <v>0.2361111111111111</v>
      </c>
      <c r="P132" s="3" t="str">
        <f>TEXT(Table1[[#This Row],[Order Date]],"mmmm")</f>
        <v>May</v>
      </c>
      <c r="Q132" s="6" t="str">
        <f t="shared" si="4"/>
        <v>الربع 2</v>
      </c>
    </row>
    <row r="133" spans="1:17" x14ac:dyDescent="0.3">
      <c r="A133" t="s">
        <v>282</v>
      </c>
      <c r="B133" s="1">
        <v>45804</v>
      </c>
      <c r="C133" s="2" t="s">
        <v>22</v>
      </c>
      <c r="D133" s="2" t="s">
        <v>23</v>
      </c>
      <c r="E133" s="2" t="s">
        <v>24</v>
      </c>
      <c r="F133" s="2" t="s">
        <v>25</v>
      </c>
      <c r="G133" s="2" t="s">
        <v>31</v>
      </c>
      <c r="H133" s="2" t="s">
        <v>283</v>
      </c>
      <c r="I133">
        <v>1</v>
      </c>
      <c r="J133" s="3">
        <v>520</v>
      </c>
      <c r="K133" s="3">
        <v>300</v>
      </c>
      <c r="L133" s="3">
        <v>520</v>
      </c>
      <c r="M133" t="s">
        <v>20</v>
      </c>
      <c r="N133" s="3">
        <f>Table1[[#This Row],[Total Sales]]-(Table1[[#This Row],[Quantity]]*Table1[[#This Row],[Unit Cost]])</f>
        <v>220</v>
      </c>
      <c r="O133" s="5">
        <f>IF(Table1[[#This Row],[Total Sales]]=0,0,Table1[[#This Row],[Profit]]/Table1[[#This Row],[Total Sales]])</f>
        <v>0.42307692307692307</v>
      </c>
      <c r="P133" s="3" t="str">
        <f>TEXT(Table1[[#This Row],[Order Date]],"mmmm")</f>
        <v>May</v>
      </c>
      <c r="Q133" s="6" t="str">
        <f t="shared" si="4"/>
        <v>الربع 2</v>
      </c>
    </row>
    <row r="134" spans="1:17" x14ac:dyDescent="0.3">
      <c r="A134" t="s">
        <v>284</v>
      </c>
      <c r="B134" s="1">
        <v>45805</v>
      </c>
      <c r="C134" s="2" t="s">
        <v>29</v>
      </c>
      <c r="D134" s="2" t="s">
        <v>30</v>
      </c>
      <c r="E134" s="2" t="s">
        <v>16</v>
      </c>
      <c r="F134" s="2" t="s">
        <v>17</v>
      </c>
      <c r="G134" s="2" t="s">
        <v>26</v>
      </c>
      <c r="H134" s="2" t="s">
        <v>285</v>
      </c>
      <c r="I134">
        <v>1</v>
      </c>
      <c r="J134" s="3">
        <v>850</v>
      </c>
      <c r="K134" s="3">
        <v>500</v>
      </c>
      <c r="L134" s="3">
        <v>850</v>
      </c>
      <c r="M134" t="s">
        <v>20</v>
      </c>
      <c r="N134" s="3">
        <f>Table1[[#This Row],[Total Sales]]-(Table1[[#This Row],[Quantity]]*Table1[[#This Row],[Unit Cost]])</f>
        <v>350</v>
      </c>
      <c r="O134" s="5">
        <f>IF(Table1[[#This Row],[Total Sales]]=0,0,Table1[[#This Row],[Profit]]/Table1[[#This Row],[Total Sales]])</f>
        <v>0.41176470588235292</v>
      </c>
      <c r="P134" s="3" t="str">
        <f>TEXT(Table1[[#This Row],[Order Date]],"mmmm")</f>
        <v>May</v>
      </c>
      <c r="Q134" s="6" t="str">
        <f t="shared" si="4"/>
        <v>الربع 2</v>
      </c>
    </row>
    <row r="135" spans="1:17" x14ac:dyDescent="0.3">
      <c r="A135" t="s">
        <v>286</v>
      </c>
      <c r="B135" s="1">
        <v>45806</v>
      </c>
      <c r="C135" s="2" t="s">
        <v>34</v>
      </c>
      <c r="D135" s="2" t="s">
        <v>15</v>
      </c>
      <c r="E135" s="2" t="s">
        <v>24</v>
      </c>
      <c r="F135" s="2" t="s">
        <v>25</v>
      </c>
      <c r="G135" s="2" t="s">
        <v>39</v>
      </c>
      <c r="H135" s="2" t="s">
        <v>287</v>
      </c>
      <c r="I135">
        <v>2</v>
      </c>
      <c r="J135" s="3">
        <v>380</v>
      </c>
      <c r="K135" s="3">
        <v>210</v>
      </c>
      <c r="L135" s="3">
        <v>760</v>
      </c>
      <c r="M135" t="s">
        <v>20</v>
      </c>
      <c r="N135" s="3">
        <f>Table1[[#This Row],[Total Sales]]-(Table1[[#This Row],[Quantity]]*Table1[[#This Row],[Unit Cost]])</f>
        <v>340</v>
      </c>
      <c r="O135" s="5">
        <f>IF(Table1[[#This Row],[Total Sales]]=0,0,Table1[[#This Row],[Profit]]/Table1[[#This Row],[Total Sales]])</f>
        <v>0.44736842105263158</v>
      </c>
      <c r="P135" s="3" t="str">
        <f>TEXT(Table1[[#This Row],[Order Date]],"mmmm")</f>
        <v>May</v>
      </c>
      <c r="Q135" s="6" t="str">
        <f t="shared" si="4"/>
        <v>الربع 2</v>
      </c>
    </row>
    <row r="136" spans="1:17" x14ac:dyDescent="0.3">
      <c r="A136" t="s">
        <v>288</v>
      </c>
      <c r="B136" s="1">
        <v>45807</v>
      </c>
      <c r="C136" s="2" t="s">
        <v>37</v>
      </c>
      <c r="D136" s="2" t="s">
        <v>38</v>
      </c>
      <c r="E136" s="2" t="s">
        <v>16</v>
      </c>
      <c r="F136" s="2" t="s">
        <v>17</v>
      </c>
      <c r="G136" s="2" t="s">
        <v>18</v>
      </c>
      <c r="H136" s="2" t="s">
        <v>289</v>
      </c>
      <c r="I136">
        <v>1</v>
      </c>
      <c r="J136" s="3">
        <v>1500</v>
      </c>
      <c r="K136" s="3">
        <v>1050</v>
      </c>
      <c r="L136" s="3">
        <v>1500</v>
      </c>
      <c r="M136" t="s">
        <v>20</v>
      </c>
      <c r="N136" s="3">
        <f>Table1[[#This Row],[Total Sales]]-(Table1[[#This Row],[Quantity]]*Table1[[#This Row],[Unit Cost]])</f>
        <v>450</v>
      </c>
      <c r="O136" s="5">
        <f>IF(Table1[[#This Row],[Total Sales]]=0,0,Table1[[#This Row],[Profit]]/Table1[[#This Row],[Total Sales]])</f>
        <v>0.3</v>
      </c>
      <c r="P136" s="3" t="str">
        <f>TEXT(Table1[[#This Row],[Order Date]],"mmmm")</f>
        <v>May</v>
      </c>
      <c r="Q136" s="6" t="str">
        <f t="shared" si="4"/>
        <v>الربع 2</v>
      </c>
    </row>
    <row r="137" spans="1:17" x14ac:dyDescent="0.3">
      <c r="A137" t="s">
        <v>290</v>
      </c>
      <c r="B137" s="1">
        <v>45808</v>
      </c>
      <c r="C137" s="2" t="s">
        <v>42</v>
      </c>
      <c r="D137" s="2" t="s">
        <v>15</v>
      </c>
      <c r="E137" s="2" t="s">
        <v>16</v>
      </c>
      <c r="F137" s="2" t="s">
        <v>25</v>
      </c>
      <c r="G137" s="2" t="s">
        <v>31</v>
      </c>
      <c r="H137" s="2" t="s">
        <v>291</v>
      </c>
      <c r="I137">
        <v>2</v>
      </c>
      <c r="J137" s="3">
        <v>340</v>
      </c>
      <c r="K137" s="3">
        <v>190</v>
      </c>
      <c r="L137" s="3">
        <v>680</v>
      </c>
      <c r="M137" t="s">
        <v>20</v>
      </c>
      <c r="N137" s="3">
        <f>Table1[[#This Row],[Total Sales]]-(Table1[[#This Row],[Quantity]]*Table1[[#This Row],[Unit Cost]])</f>
        <v>300</v>
      </c>
      <c r="O137" s="5">
        <f>IF(Table1[[#This Row],[Total Sales]]=0,0,Table1[[#This Row],[Profit]]/Table1[[#This Row],[Total Sales]])</f>
        <v>0.44117647058823528</v>
      </c>
      <c r="P137" s="3" t="str">
        <f>TEXT(Table1[[#This Row],[Order Date]],"mmmm")</f>
        <v>May</v>
      </c>
      <c r="Q137" s="6" t="str">
        <f t="shared" si="4"/>
        <v>الربع 2</v>
      </c>
    </row>
    <row r="138" spans="1:17" x14ac:dyDescent="0.3">
      <c r="A138" t="s">
        <v>292</v>
      </c>
      <c r="B138" s="1">
        <v>45809</v>
      </c>
      <c r="C138" s="2" t="s">
        <v>45</v>
      </c>
      <c r="D138" s="2" t="s">
        <v>23</v>
      </c>
      <c r="E138" s="2" t="s">
        <v>24</v>
      </c>
      <c r="F138" s="2" t="s">
        <v>17</v>
      </c>
      <c r="G138" s="2" t="s">
        <v>26</v>
      </c>
      <c r="H138" s="2" t="s">
        <v>293</v>
      </c>
      <c r="I138">
        <v>1</v>
      </c>
      <c r="J138" s="3">
        <v>290</v>
      </c>
      <c r="K138" s="3">
        <v>150</v>
      </c>
      <c r="L138" s="3">
        <v>290</v>
      </c>
      <c r="M138" t="s">
        <v>20</v>
      </c>
      <c r="N138" s="3">
        <f>Table1[[#This Row],[Total Sales]]-(Table1[[#This Row],[Quantity]]*Table1[[#This Row],[Unit Cost]])</f>
        <v>140</v>
      </c>
      <c r="O138" s="5">
        <f>IF(Table1[[#This Row],[Total Sales]]=0,0,Table1[[#This Row],[Profit]]/Table1[[#This Row],[Total Sales]])</f>
        <v>0.48275862068965519</v>
      </c>
      <c r="P138" s="3" t="str">
        <f>TEXT(Table1[[#This Row],[Order Date]],"mmmm")</f>
        <v>June</v>
      </c>
      <c r="Q138" s="6" t="str">
        <f t="shared" si="4"/>
        <v>الربع 2</v>
      </c>
    </row>
    <row r="139" spans="1:17" x14ac:dyDescent="0.3">
      <c r="A139" t="s">
        <v>294</v>
      </c>
      <c r="B139" s="1">
        <v>45810</v>
      </c>
      <c r="C139" s="2" t="s">
        <v>48</v>
      </c>
      <c r="D139" s="2" t="s">
        <v>30</v>
      </c>
      <c r="E139" s="2" t="s">
        <v>24</v>
      </c>
      <c r="F139" s="2" t="s">
        <v>25</v>
      </c>
      <c r="G139" s="2" t="s">
        <v>39</v>
      </c>
      <c r="H139" s="2" t="s">
        <v>295</v>
      </c>
      <c r="I139">
        <v>1</v>
      </c>
      <c r="J139" s="3">
        <v>480</v>
      </c>
      <c r="K139" s="3">
        <v>260</v>
      </c>
      <c r="L139" s="3">
        <v>480</v>
      </c>
      <c r="M139" t="s">
        <v>20</v>
      </c>
      <c r="N139" s="3">
        <f>Table1[[#This Row],[Total Sales]]-(Table1[[#This Row],[Quantity]]*Table1[[#This Row],[Unit Cost]])</f>
        <v>220</v>
      </c>
      <c r="O139" s="5">
        <f>IF(Table1[[#This Row],[Total Sales]]=0,0,Table1[[#This Row],[Profit]]/Table1[[#This Row],[Total Sales]])</f>
        <v>0.45833333333333331</v>
      </c>
      <c r="P139" s="3" t="str">
        <f>TEXT(Table1[[#This Row],[Order Date]],"mmmm")</f>
        <v>June</v>
      </c>
      <c r="Q139" s="6" t="str">
        <f t="shared" si="4"/>
        <v>الربع 2</v>
      </c>
    </row>
    <row r="140" spans="1:17" x14ac:dyDescent="0.3">
      <c r="A140" t="s">
        <v>296</v>
      </c>
      <c r="B140" s="1">
        <v>45811</v>
      </c>
      <c r="C140" s="2" t="s">
        <v>51</v>
      </c>
      <c r="D140" s="2" t="s">
        <v>15</v>
      </c>
      <c r="E140" s="2" t="s">
        <v>16</v>
      </c>
      <c r="F140" s="2" t="s">
        <v>17</v>
      </c>
      <c r="G140" s="2" t="s">
        <v>18</v>
      </c>
      <c r="H140" s="2" t="s">
        <v>297</v>
      </c>
      <c r="I140">
        <v>1</v>
      </c>
      <c r="J140" s="3">
        <v>4200</v>
      </c>
      <c r="K140" s="3">
        <v>3050</v>
      </c>
      <c r="L140" s="3">
        <v>4200</v>
      </c>
      <c r="M140" t="s">
        <v>20</v>
      </c>
      <c r="N140" s="3">
        <f>Table1[[#This Row],[Total Sales]]-(Table1[[#This Row],[Quantity]]*Table1[[#This Row],[Unit Cost]])</f>
        <v>1150</v>
      </c>
      <c r="O140" s="5">
        <f>IF(Table1[[#This Row],[Total Sales]]=0,0,Table1[[#This Row],[Profit]]/Table1[[#This Row],[Total Sales]])</f>
        <v>0.27380952380952384</v>
      </c>
      <c r="P140" s="3" t="str">
        <f>TEXT(Table1[[#This Row],[Order Date]],"mmmm")</f>
        <v>June</v>
      </c>
      <c r="Q140" s="6" t="str">
        <f t="shared" si="4"/>
        <v>الربع 2</v>
      </c>
    </row>
    <row r="141" spans="1:17" x14ac:dyDescent="0.3">
      <c r="A141" t="s">
        <v>298</v>
      </c>
      <c r="B141" s="1">
        <v>45753</v>
      </c>
      <c r="C141" s="2" t="s">
        <v>54</v>
      </c>
      <c r="D141" s="2" t="s">
        <v>23</v>
      </c>
      <c r="E141" s="2" t="s">
        <v>24</v>
      </c>
      <c r="F141" s="2" t="s">
        <v>25</v>
      </c>
      <c r="G141" s="2" t="s">
        <v>31</v>
      </c>
      <c r="H141" s="2" t="s">
        <v>299</v>
      </c>
      <c r="I141">
        <v>1</v>
      </c>
      <c r="J141" s="3">
        <v>2800</v>
      </c>
      <c r="K141" s="3">
        <v>1950</v>
      </c>
      <c r="L141" s="3">
        <v>2800</v>
      </c>
      <c r="M141" t="s">
        <v>20</v>
      </c>
      <c r="N141" s="3">
        <f>Table1[[#This Row],[Total Sales]]-(Table1[[#This Row],[Quantity]]*Table1[[#This Row],[Unit Cost]])</f>
        <v>850</v>
      </c>
      <c r="O141" s="5">
        <f>IF(Table1[[#This Row],[Total Sales]]=0,0,Table1[[#This Row],[Profit]]/Table1[[#This Row],[Total Sales]])</f>
        <v>0.30357142857142855</v>
      </c>
      <c r="P141" s="3" t="str">
        <f>TEXT(Table1[[#This Row],[Order Date]],"mmmm")</f>
        <v>April</v>
      </c>
      <c r="Q141" s="6" t="str">
        <f t="shared" si="4"/>
        <v>الربع 2</v>
      </c>
    </row>
    <row r="142" spans="1:17" x14ac:dyDescent="0.3">
      <c r="A142" t="s">
        <v>300</v>
      </c>
      <c r="B142" s="1">
        <v>45813</v>
      </c>
      <c r="C142" s="2" t="s">
        <v>14</v>
      </c>
      <c r="D142" s="2" t="s">
        <v>15</v>
      </c>
      <c r="E142" s="2" t="s">
        <v>16</v>
      </c>
      <c r="F142" s="2" t="s">
        <v>17</v>
      </c>
      <c r="G142" s="2" t="s">
        <v>26</v>
      </c>
      <c r="H142" s="2" t="s">
        <v>301</v>
      </c>
      <c r="I142">
        <v>1</v>
      </c>
      <c r="J142" s="3">
        <v>480</v>
      </c>
      <c r="K142" s="3">
        <v>270</v>
      </c>
      <c r="L142" s="3">
        <v>480</v>
      </c>
      <c r="M142" t="s">
        <v>20</v>
      </c>
      <c r="N142" s="3">
        <f>Table1[[#This Row],[Total Sales]]-(Table1[[#This Row],[Quantity]]*Table1[[#This Row],[Unit Cost]])</f>
        <v>210</v>
      </c>
      <c r="O142" s="5">
        <f>IF(Table1[[#This Row],[Total Sales]]=0,0,Table1[[#This Row],[Profit]]/Table1[[#This Row],[Total Sales]])</f>
        <v>0.4375</v>
      </c>
      <c r="P142" s="3" t="str">
        <f>TEXT(Table1[[#This Row],[Order Date]],"mmmm")</f>
        <v>June</v>
      </c>
      <c r="Q142" s="6" t="str">
        <f t="shared" si="4"/>
        <v>الربع 2</v>
      </c>
    </row>
    <row r="143" spans="1:17" x14ac:dyDescent="0.3">
      <c r="A143" t="s">
        <v>302</v>
      </c>
      <c r="B143" s="1">
        <v>45814</v>
      </c>
      <c r="C143" s="2" t="s">
        <v>22</v>
      </c>
      <c r="D143" s="2" t="s">
        <v>23</v>
      </c>
      <c r="E143" s="2" t="s">
        <v>377</v>
      </c>
      <c r="F143" s="2" t="s">
        <v>25</v>
      </c>
      <c r="G143" s="2" t="s">
        <v>39</v>
      </c>
      <c r="H143" s="2" t="s">
        <v>303</v>
      </c>
      <c r="I143">
        <v>6</v>
      </c>
      <c r="J143" s="3">
        <v>140</v>
      </c>
      <c r="K143" s="3">
        <v>70</v>
      </c>
      <c r="L143" s="3">
        <v>840</v>
      </c>
      <c r="M143" t="s">
        <v>20</v>
      </c>
      <c r="N143" s="3">
        <f>Table1[[#This Row],[Total Sales]]-(Table1[[#This Row],[Quantity]]*Table1[[#This Row],[Unit Cost]])</f>
        <v>420</v>
      </c>
      <c r="O143" s="5">
        <f>IF(Table1[[#This Row],[Total Sales]]=0,0,Table1[[#This Row],[Profit]]/Table1[[#This Row],[Total Sales]])</f>
        <v>0.5</v>
      </c>
      <c r="P143" s="3" t="str">
        <f>TEXT(Table1[[#This Row],[Order Date]],"mmmm")</f>
        <v>June</v>
      </c>
      <c r="Q143" s="6" t="str">
        <f t="shared" si="4"/>
        <v>الربع 2</v>
      </c>
    </row>
    <row r="144" spans="1:17" x14ac:dyDescent="0.3">
      <c r="A144" t="s">
        <v>304</v>
      </c>
      <c r="B144" s="1">
        <v>45815</v>
      </c>
      <c r="C144" s="2" t="s">
        <v>29</v>
      </c>
      <c r="D144" s="2" t="s">
        <v>30</v>
      </c>
      <c r="E144" s="2" t="s">
        <v>16</v>
      </c>
      <c r="F144" s="2" t="s">
        <v>17</v>
      </c>
      <c r="G144" s="2" t="s">
        <v>18</v>
      </c>
      <c r="H144" s="2" t="s">
        <v>305</v>
      </c>
      <c r="I144">
        <v>2</v>
      </c>
      <c r="J144" s="3">
        <v>250</v>
      </c>
      <c r="K144" s="3">
        <v>130</v>
      </c>
      <c r="L144" s="3">
        <v>500</v>
      </c>
      <c r="M144" t="s">
        <v>20</v>
      </c>
      <c r="N144" s="3">
        <f>Table1[[#This Row],[Total Sales]]-(Table1[[#This Row],[Quantity]]*Table1[[#This Row],[Unit Cost]])</f>
        <v>240</v>
      </c>
      <c r="O144" s="5">
        <f>IF(Table1[[#This Row],[Total Sales]]=0,0,Table1[[#This Row],[Profit]]/Table1[[#This Row],[Total Sales]])</f>
        <v>0.48</v>
      </c>
      <c r="P144" s="3" t="str">
        <f>TEXT(Table1[[#This Row],[Order Date]],"mmmm")</f>
        <v>June</v>
      </c>
      <c r="Q144" s="6" t="str">
        <f t="shared" si="4"/>
        <v>الربع 2</v>
      </c>
    </row>
    <row r="145" spans="1:17" x14ac:dyDescent="0.3">
      <c r="A145" t="s">
        <v>306</v>
      </c>
      <c r="B145" s="1">
        <v>45816</v>
      </c>
      <c r="C145" s="2" t="s">
        <v>34</v>
      </c>
      <c r="D145" s="2" t="s">
        <v>15</v>
      </c>
      <c r="E145" s="2" t="s">
        <v>24</v>
      </c>
      <c r="F145" s="2" t="s">
        <v>25</v>
      </c>
      <c r="G145" s="2" t="s">
        <v>31</v>
      </c>
      <c r="H145" s="2" t="s">
        <v>307</v>
      </c>
      <c r="I145">
        <v>1</v>
      </c>
      <c r="J145" s="3">
        <v>850</v>
      </c>
      <c r="K145" s="3">
        <v>520</v>
      </c>
      <c r="L145" s="3">
        <v>850</v>
      </c>
      <c r="M145" t="s">
        <v>20</v>
      </c>
      <c r="N145" s="3">
        <f>Table1[[#This Row],[Total Sales]]-(Table1[[#This Row],[Quantity]]*Table1[[#This Row],[Unit Cost]])</f>
        <v>330</v>
      </c>
      <c r="O145" s="5">
        <f>IF(Table1[[#This Row],[Total Sales]]=0,0,Table1[[#This Row],[Profit]]/Table1[[#This Row],[Total Sales]])</f>
        <v>0.38823529411764707</v>
      </c>
      <c r="P145" s="3" t="str">
        <f>TEXT(Table1[[#This Row],[Order Date]],"mmmm")</f>
        <v>June</v>
      </c>
      <c r="Q145" s="6" t="str">
        <f t="shared" si="4"/>
        <v>الربع 2</v>
      </c>
    </row>
    <row r="146" spans="1:17" x14ac:dyDescent="0.3">
      <c r="A146" t="s">
        <v>308</v>
      </c>
      <c r="B146" s="1">
        <v>45817</v>
      </c>
      <c r="C146" s="2" t="s">
        <v>37</v>
      </c>
      <c r="D146" s="2" t="s">
        <v>38</v>
      </c>
      <c r="E146" s="2" t="s">
        <v>16</v>
      </c>
      <c r="F146" s="2" t="s">
        <v>17</v>
      </c>
      <c r="G146" s="2" t="s">
        <v>26</v>
      </c>
      <c r="H146" s="2" t="s">
        <v>309</v>
      </c>
      <c r="I146">
        <v>2</v>
      </c>
      <c r="J146" s="3">
        <v>280</v>
      </c>
      <c r="K146" s="3">
        <v>150</v>
      </c>
      <c r="L146" s="3">
        <v>560</v>
      </c>
      <c r="M146" t="s">
        <v>20</v>
      </c>
      <c r="N146" s="3">
        <f>Table1[[#This Row],[Total Sales]]-(Table1[[#This Row],[Quantity]]*Table1[[#This Row],[Unit Cost]])</f>
        <v>260</v>
      </c>
      <c r="O146" s="5">
        <f>IF(Table1[[#This Row],[Total Sales]]=0,0,Table1[[#This Row],[Profit]]/Table1[[#This Row],[Total Sales]])</f>
        <v>0.4642857142857143</v>
      </c>
      <c r="P146" s="3" t="str">
        <f>TEXT(Table1[[#This Row],[Order Date]],"mmmm")</f>
        <v>June</v>
      </c>
      <c r="Q146" s="6" t="str">
        <f t="shared" si="4"/>
        <v>الربع 2</v>
      </c>
    </row>
    <row r="147" spans="1:17" x14ac:dyDescent="0.3">
      <c r="A147" t="s">
        <v>310</v>
      </c>
      <c r="B147" s="1">
        <v>45936</v>
      </c>
      <c r="C147" s="2" t="s">
        <v>42</v>
      </c>
      <c r="D147" s="2" t="s">
        <v>15</v>
      </c>
      <c r="E147" s="2" t="s">
        <v>16</v>
      </c>
      <c r="F147" s="2" t="s">
        <v>25</v>
      </c>
      <c r="G147" s="2" t="s">
        <v>39</v>
      </c>
      <c r="H147" s="2" t="s">
        <v>311</v>
      </c>
      <c r="I147">
        <v>1</v>
      </c>
      <c r="J147" s="3">
        <v>3200</v>
      </c>
      <c r="K147" s="3">
        <v>2100</v>
      </c>
      <c r="L147" s="3">
        <v>3200</v>
      </c>
      <c r="M147" t="s">
        <v>20</v>
      </c>
      <c r="N147" s="3">
        <f>Table1[[#This Row],[Total Sales]]-(Table1[[#This Row],[Quantity]]*Table1[[#This Row],[Unit Cost]])</f>
        <v>1100</v>
      </c>
      <c r="O147" s="5">
        <f>IF(Table1[[#This Row],[Total Sales]]=0,0,Table1[[#This Row],[Profit]]/Table1[[#This Row],[Total Sales]])</f>
        <v>0.34375</v>
      </c>
      <c r="P147" s="3" t="str">
        <f>TEXT(Table1[[#This Row],[Order Date]],"mmmm")</f>
        <v>October</v>
      </c>
      <c r="Q147" s="6" t="str">
        <f t="shared" si="4"/>
        <v>الربع 4</v>
      </c>
    </row>
    <row r="148" spans="1:17" x14ac:dyDescent="0.3">
      <c r="A148" t="s">
        <v>312</v>
      </c>
      <c r="B148" s="1">
        <v>45819</v>
      </c>
      <c r="C148" s="2" t="s">
        <v>45</v>
      </c>
      <c r="D148" s="2" t="s">
        <v>23</v>
      </c>
      <c r="E148" s="2" t="s">
        <v>24</v>
      </c>
      <c r="F148" s="2" t="s">
        <v>17</v>
      </c>
      <c r="G148" s="2" t="s">
        <v>18</v>
      </c>
      <c r="H148" s="2" t="s">
        <v>313</v>
      </c>
      <c r="I148">
        <v>1</v>
      </c>
      <c r="J148" s="3">
        <v>2200</v>
      </c>
      <c r="K148" s="3">
        <v>1550</v>
      </c>
      <c r="L148" s="3">
        <v>2200</v>
      </c>
      <c r="M148" t="s">
        <v>20</v>
      </c>
      <c r="N148" s="3">
        <f>Table1[[#This Row],[Total Sales]]-(Table1[[#This Row],[Quantity]]*Table1[[#This Row],[Unit Cost]])</f>
        <v>650</v>
      </c>
      <c r="O148" s="5">
        <f>IF(Table1[[#This Row],[Total Sales]]=0,0,Table1[[#This Row],[Profit]]/Table1[[#This Row],[Total Sales]])</f>
        <v>0.29545454545454547</v>
      </c>
      <c r="P148" s="3" t="str">
        <f>TEXT(Table1[[#This Row],[Order Date]],"mmmm")</f>
        <v>June</v>
      </c>
      <c r="Q148" s="6" t="str">
        <f t="shared" si="4"/>
        <v>الربع 2</v>
      </c>
    </row>
    <row r="149" spans="1:17" x14ac:dyDescent="0.3">
      <c r="A149" t="s">
        <v>314</v>
      </c>
      <c r="B149" s="1">
        <v>45820</v>
      </c>
      <c r="C149" s="2" t="s">
        <v>48</v>
      </c>
      <c r="D149" s="2" t="s">
        <v>30</v>
      </c>
      <c r="E149" s="2" t="s">
        <v>24</v>
      </c>
      <c r="F149" s="2" t="s">
        <v>25</v>
      </c>
      <c r="G149" s="2" t="s">
        <v>31</v>
      </c>
      <c r="H149" s="2" t="s">
        <v>315</v>
      </c>
      <c r="I149">
        <v>1</v>
      </c>
      <c r="J149" s="3">
        <v>3800</v>
      </c>
      <c r="K149" s="3">
        <v>2700</v>
      </c>
      <c r="L149" s="3">
        <v>3800</v>
      </c>
      <c r="M149" t="s">
        <v>20</v>
      </c>
      <c r="N149" s="3">
        <f>Table1[[#This Row],[Total Sales]]-(Table1[[#This Row],[Quantity]]*Table1[[#This Row],[Unit Cost]])</f>
        <v>1100</v>
      </c>
      <c r="O149" s="5">
        <f>IF(Table1[[#This Row],[Total Sales]]=0,0,Table1[[#This Row],[Profit]]/Table1[[#This Row],[Total Sales]])</f>
        <v>0.28947368421052633</v>
      </c>
      <c r="P149" s="3" t="str">
        <f>TEXT(Table1[[#This Row],[Order Date]],"mmmm")</f>
        <v>June</v>
      </c>
      <c r="Q149" s="6" t="str">
        <f t="shared" si="4"/>
        <v>الربع 2</v>
      </c>
    </row>
    <row r="150" spans="1:17" x14ac:dyDescent="0.3">
      <c r="A150" t="s">
        <v>316</v>
      </c>
      <c r="B150" s="1">
        <v>45821</v>
      </c>
      <c r="C150" s="2" t="s">
        <v>51</v>
      </c>
      <c r="D150" s="2" t="s">
        <v>15</v>
      </c>
      <c r="E150" s="2" t="s">
        <v>16</v>
      </c>
      <c r="F150" s="2" t="s">
        <v>17</v>
      </c>
      <c r="G150" s="2" t="s">
        <v>26</v>
      </c>
      <c r="H150" s="2" t="s">
        <v>317</v>
      </c>
      <c r="I150">
        <v>5</v>
      </c>
      <c r="J150" s="3">
        <v>110</v>
      </c>
      <c r="K150" s="3">
        <v>55</v>
      </c>
      <c r="L150" s="3">
        <v>550</v>
      </c>
      <c r="M150" t="s">
        <v>20</v>
      </c>
      <c r="N150" s="3">
        <f>Table1[[#This Row],[Total Sales]]-(Table1[[#This Row],[Quantity]]*Table1[[#This Row],[Unit Cost]])</f>
        <v>275</v>
      </c>
      <c r="O150" s="5">
        <f>IF(Table1[[#This Row],[Total Sales]]=0,0,Table1[[#This Row],[Profit]]/Table1[[#This Row],[Total Sales]])</f>
        <v>0.5</v>
      </c>
      <c r="P150" s="3" t="str">
        <f>TEXT(Table1[[#This Row],[Order Date]],"mmmm")</f>
        <v>June</v>
      </c>
      <c r="Q150" s="6" t="str">
        <f t="shared" si="4"/>
        <v>الربع 2</v>
      </c>
    </row>
    <row r="151" spans="1:17" x14ac:dyDescent="0.3">
      <c r="A151" t="s">
        <v>318</v>
      </c>
      <c r="B151" s="1">
        <v>45822</v>
      </c>
      <c r="C151" s="2" t="s">
        <v>54</v>
      </c>
      <c r="D151" s="2" t="s">
        <v>23</v>
      </c>
      <c r="E151" s="2" t="s">
        <v>24</v>
      </c>
      <c r="F151" s="2" t="s">
        <v>25</v>
      </c>
      <c r="G151" s="2" t="s">
        <v>39</v>
      </c>
      <c r="H151" s="2" t="s">
        <v>319</v>
      </c>
      <c r="I151">
        <v>1</v>
      </c>
      <c r="J151" s="3">
        <v>850</v>
      </c>
      <c r="K151" s="3">
        <v>500</v>
      </c>
      <c r="L151" s="3">
        <v>850</v>
      </c>
      <c r="M151" t="s">
        <v>20</v>
      </c>
      <c r="N151" s="3">
        <f>Table1[[#This Row],[Total Sales]]-(Table1[[#This Row],[Quantity]]*Table1[[#This Row],[Unit Cost]])</f>
        <v>350</v>
      </c>
      <c r="O151" s="5">
        <f>IF(Table1[[#This Row],[Total Sales]]=0,0,Table1[[#This Row],[Profit]]/Table1[[#This Row],[Total Sales]])</f>
        <v>0.41176470588235292</v>
      </c>
      <c r="P151" s="3" t="str">
        <f>TEXT(Table1[[#This Row],[Order Date]],"mmmm")</f>
        <v>June</v>
      </c>
      <c r="Q151" s="6" t="str">
        <f t="shared" si="4"/>
        <v>الربع 2</v>
      </c>
    </row>
    <row r="152" spans="1:17" x14ac:dyDescent="0.3">
      <c r="A152" t="s">
        <v>320</v>
      </c>
      <c r="B152" s="1">
        <v>45823</v>
      </c>
      <c r="C152" s="2" t="s">
        <v>14</v>
      </c>
      <c r="D152" s="2" t="s">
        <v>15</v>
      </c>
      <c r="E152" s="2" t="s">
        <v>16</v>
      </c>
      <c r="F152" s="2" t="s">
        <v>17</v>
      </c>
      <c r="G152" s="2" t="s">
        <v>18</v>
      </c>
      <c r="H152" s="2" t="s">
        <v>321</v>
      </c>
      <c r="I152">
        <v>1</v>
      </c>
      <c r="J152" s="3">
        <v>620</v>
      </c>
      <c r="K152" s="3">
        <v>360</v>
      </c>
      <c r="L152" s="3">
        <v>620</v>
      </c>
      <c r="M152" t="s">
        <v>20</v>
      </c>
      <c r="N152" s="3">
        <f>Table1[[#This Row],[Total Sales]]-(Table1[[#This Row],[Quantity]]*Table1[[#This Row],[Unit Cost]])</f>
        <v>260</v>
      </c>
      <c r="O152" s="5">
        <f>IF(Table1[[#This Row],[Total Sales]]=0,0,Table1[[#This Row],[Profit]]/Table1[[#This Row],[Total Sales]])</f>
        <v>0.41935483870967744</v>
      </c>
      <c r="P152" s="3" t="str">
        <f>TEXT(Table1[[#This Row],[Order Date]],"mmmm")</f>
        <v>June</v>
      </c>
      <c r="Q152" s="6" t="str">
        <f t="shared" si="4"/>
        <v>الربع 2</v>
      </c>
    </row>
    <row r="153" spans="1:17" x14ac:dyDescent="0.3">
      <c r="A153" t="s">
        <v>322</v>
      </c>
      <c r="B153" s="1">
        <v>45824</v>
      </c>
      <c r="C153" s="2" t="s">
        <v>22</v>
      </c>
      <c r="D153" s="2" t="s">
        <v>23</v>
      </c>
      <c r="E153" s="2" t="s">
        <v>24</v>
      </c>
      <c r="F153" s="2" t="s">
        <v>25</v>
      </c>
      <c r="G153" s="2" t="s">
        <v>31</v>
      </c>
      <c r="H153" s="2" t="s">
        <v>323</v>
      </c>
      <c r="I153">
        <v>2</v>
      </c>
      <c r="J153" s="3">
        <v>240</v>
      </c>
      <c r="K153" s="3">
        <v>130</v>
      </c>
      <c r="L153" s="3">
        <v>480</v>
      </c>
      <c r="M153" t="s">
        <v>20</v>
      </c>
      <c r="N153" s="3">
        <f>Table1[[#This Row],[Total Sales]]-(Table1[[#This Row],[Quantity]]*Table1[[#This Row],[Unit Cost]])</f>
        <v>220</v>
      </c>
      <c r="O153" s="5">
        <f>IF(Table1[[#This Row],[Total Sales]]=0,0,Table1[[#This Row],[Profit]]/Table1[[#This Row],[Total Sales]])</f>
        <v>0.45833333333333331</v>
      </c>
      <c r="P153" s="3" t="str">
        <f>TEXT(Table1[[#This Row],[Order Date]],"mmmm")</f>
        <v>June</v>
      </c>
      <c r="Q153" s="6" t="str">
        <f t="shared" si="4"/>
        <v>الربع 2</v>
      </c>
    </row>
    <row r="154" spans="1:17" x14ac:dyDescent="0.3">
      <c r="A154" t="s">
        <v>324</v>
      </c>
      <c r="B154" s="1">
        <v>45825</v>
      </c>
      <c r="C154" s="2" t="s">
        <v>29</v>
      </c>
      <c r="D154" s="2" t="s">
        <v>30</v>
      </c>
      <c r="E154" s="2" t="s">
        <v>16</v>
      </c>
      <c r="F154" s="2" t="s">
        <v>17</v>
      </c>
      <c r="G154" s="2" t="s">
        <v>26</v>
      </c>
      <c r="H154" s="2" t="s">
        <v>325</v>
      </c>
      <c r="I154">
        <v>3</v>
      </c>
      <c r="J154" s="3">
        <v>190</v>
      </c>
      <c r="K154" s="3">
        <v>95</v>
      </c>
      <c r="L154" s="3">
        <v>570</v>
      </c>
      <c r="M154" t="s">
        <v>20</v>
      </c>
      <c r="N154" s="3">
        <f>Table1[[#This Row],[Total Sales]]-(Table1[[#This Row],[Quantity]]*Table1[[#This Row],[Unit Cost]])</f>
        <v>285</v>
      </c>
      <c r="O154" s="5">
        <f>IF(Table1[[#This Row],[Total Sales]]=0,0,Table1[[#This Row],[Profit]]/Table1[[#This Row],[Total Sales]])</f>
        <v>0.5</v>
      </c>
      <c r="P154" s="3" t="str">
        <f>TEXT(Table1[[#This Row],[Order Date]],"mmmm")</f>
        <v>June</v>
      </c>
      <c r="Q154" s="6" t="str">
        <f t="shared" si="4"/>
        <v>الربع 2</v>
      </c>
    </row>
    <row r="155" spans="1:17" x14ac:dyDescent="0.3">
      <c r="A155" t="s">
        <v>326</v>
      </c>
      <c r="B155" s="1">
        <v>45826</v>
      </c>
      <c r="C155" s="2" t="s">
        <v>34</v>
      </c>
      <c r="D155" s="2" t="s">
        <v>15</v>
      </c>
      <c r="E155" s="2" t="s">
        <v>24</v>
      </c>
      <c r="F155" s="2" t="s">
        <v>25</v>
      </c>
      <c r="G155" s="2" t="s">
        <v>39</v>
      </c>
      <c r="H155" s="2" t="s">
        <v>327</v>
      </c>
      <c r="I155">
        <v>1</v>
      </c>
      <c r="J155" s="3">
        <v>520</v>
      </c>
      <c r="K155" s="3">
        <v>300</v>
      </c>
      <c r="L155" s="3">
        <v>520</v>
      </c>
      <c r="M155" t="s">
        <v>20</v>
      </c>
      <c r="N155" s="3">
        <f>Table1[[#This Row],[Total Sales]]-(Table1[[#This Row],[Quantity]]*Table1[[#This Row],[Unit Cost]])</f>
        <v>220</v>
      </c>
      <c r="O155" s="5">
        <f>IF(Table1[[#This Row],[Total Sales]]=0,0,Table1[[#This Row],[Profit]]/Table1[[#This Row],[Total Sales]])</f>
        <v>0.42307692307692307</v>
      </c>
      <c r="P155" s="3" t="str">
        <f>TEXT(Table1[[#This Row],[Order Date]],"mmmm")</f>
        <v>June</v>
      </c>
      <c r="Q155" s="6" t="str">
        <f t="shared" si="4"/>
        <v>الربع 2</v>
      </c>
    </row>
    <row r="156" spans="1:17" x14ac:dyDescent="0.3">
      <c r="A156" t="s">
        <v>328</v>
      </c>
      <c r="B156" s="1">
        <v>45827</v>
      </c>
      <c r="C156" s="2" t="s">
        <v>37</v>
      </c>
      <c r="D156" s="2" t="s">
        <v>38</v>
      </c>
      <c r="E156" s="2" t="s">
        <v>16</v>
      </c>
      <c r="F156" s="2" t="s">
        <v>17</v>
      </c>
      <c r="G156" s="2" t="s">
        <v>18</v>
      </c>
      <c r="H156" s="2" t="s">
        <v>329</v>
      </c>
      <c r="I156">
        <v>1</v>
      </c>
      <c r="J156" s="3">
        <v>950</v>
      </c>
      <c r="K156" s="3">
        <v>650</v>
      </c>
      <c r="L156" s="3">
        <v>950</v>
      </c>
      <c r="M156" t="s">
        <v>20</v>
      </c>
      <c r="N156" s="3">
        <f>Table1[[#This Row],[Total Sales]]-(Table1[[#This Row],[Quantity]]*Table1[[#This Row],[Unit Cost]])</f>
        <v>300</v>
      </c>
      <c r="O156" s="5">
        <f>IF(Table1[[#This Row],[Total Sales]]=0,0,Table1[[#This Row],[Profit]]/Table1[[#This Row],[Total Sales]])</f>
        <v>0.31578947368421051</v>
      </c>
      <c r="P156" s="3" t="str">
        <f>TEXT(Table1[[#This Row],[Order Date]],"mmmm")</f>
        <v>June</v>
      </c>
      <c r="Q156" s="6" t="str">
        <f t="shared" si="4"/>
        <v>الربع 2</v>
      </c>
    </row>
    <row r="157" spans="1:17" x14ac:dyDescent="0.3">
      <c r="A157" t="s">
        <v>330</v>
      </c>
      <c r="B157" s="1">
        <v>45828</v>
      </c>
      <c r="C157" s="2" t="s">
        <v>42</v>
      </c>
      <c r="D157" s="2" t="s">
        <v>15</v>
      </c>
      <c r="E157" s="2" t="s">
        <v>16</v>
      </c>
      <c r="F157" s="2" t="s">
        <v>25</v>
      </c>
      <c r="G157" s="2" t="s">
        <v>31</v>
      </c>
      <c r="H157" s="2" t="s">
        <v>331</v>
      </c>
      <c r="I157">
        <v>1</v>
      </c>
      <c r="J157" s="3">
        <v>850</v>
      </c>
      <c r="K157" s="3">
        <v>540</v>
      </c>
      <c r="L157" s="3">
        <v>850</v>
      </c>
      <c r="M157" t="s">
        <v>20</v>
      </c>
      <c r="N157" s="3">
        <f>Table1[[#This Row],[Total Sales]]-(Table1[[#This Row],[Quantity]]*Table1[[#This Row],[Unit Cost]])</f>
        <v>310</v>
      </c>
      <c r="O157" s="5">
        <f>IF(Table1[[#This Row],[Total Sales]]=0,0,Table1[[#This Row],[Profit]]/Table1[[#This Row],[Total Sales]])</f>
        <v>0.36470588235294116</v>
      </c>
      <c r="P157" s="3" t="str">
        <f>TEXT(Table1[[#This Row],[Order Date]],"mmmm")</f>
        <v>June</v>
      </c>
      <c r="Q157" s="6" t="str">
        <f t="shared" si="4"/>
        <v>الربع 2</v>
      </c>
    </row>
    <row r="158" spans="1:17" x14ac:dyDescent="0.3">
      <c r="A158" t="s">
        <v>332</v>
      </c>
      <c r="B158" s="1">
        <v>45829</v>
      </c>
      <c r="C158" s="2" t="s">
        <v>45</v>
      </c>
      <c r="D158" s="2" t="s">
        <v>23</v>
      </c>
      <c r="E158" s="2" t="s">
        <v>24</v>
      </c>
      <c r="F158" s="2" t="s">
        <v>17</v>
      </c>
      <c r="G158" s="2" t="s">
        <v>26</v>
      </c>
      <c r="H158" s="2" t="s">
        <v>333</v>
      </c>
      <c r="I158">
        <v>1</v>
      </c>
      <c r="J158" s="3">
        <v>650</v>
      </c>
      <c r="K158" s="3">
        <v>380</v>
      </c>
      <c r="L158" s="3">
        <v>650</v>
      </c>
      <c r="M158" t="s">
        <v>20</v>
      </c>
      <c r="N158" s="3">
        <f>Table1[[#This Row],[Total Sales]]-(Table1[[#This Row],[Quantity]]*Table1[[#This Row],[Unit Cost]])</f>
        <v>270</v>
      </c>
      <c r="O158" s="5">
        <f>IF(Table1[[#This Row],[Total Sales]]=0,0,Table1[[#This Row],[Profit]]/Table1[[#This Row],[Total Sales]])</f>
        <v>0.41538461538461541</v>
      </c>
      <c r="P158" s="3" t="str">
        <f>TEXT(Table1[[#This Row],[Order Date]],"mmmm")</f>
        <v>June</v>
      </c>
      <c r="Q158" s="6" t="str">
        <f t="shared" si="4"/>
        <v>الربع 2</v>
      </c>
    </row>
    <row r="159" spans="1:17" x14ac:dyDescent="0.3">
      <c r="A159" t="s">
        <v>334</v>
      </c>
      <c r="B159" s="1">
        <v>45830</v>
      </c>
      <c r="C159" s="2" t="s">
        <v>48</v>
      </c>
      <c r="D159" s="2" t="s">
        <v>30</v>
      </c>
      <c r="E159" s="2" t="s">
        <v>24</v>
      </c>
      <c r="F159" s="2" t="s">
        <v>25</v>
      </c>
      <c r="G159" s="2" t="s">
        <v>39</v>
      </c>
      <c r="H159" s="2" t="s">
        <v>335</v>
      </c>
      <c r="I159">
        <v>1</v>
      </c>
      <c r="J159" s="3">
        <v>620</v>
      </c>
      <c r="K159" s="3">
        <v>340</v>
      </c>
      <c r="L159" s="3">
        <v>620</v>
      </c>
      <c r="M159" t="s">
        <v>20</v>
      </c>
      <c r="N159" s="3">
        <f>Table1[[#This Row],[Total Sales]]-(Table1[[#This Row],[Quantity]]*Table1[[#This Row],[Unit Cost]])</f>
        <v>280</v>
      </c>
      <c r="O159" s="5">
        <f>IF(Table1[[#This Row],[Total Sales]]=0,0,Table1[[#This Row],[Profit]]/Table1[[#This Row],[Total Sales]])</f>
        <v>0.45161290322580644</v>
      </c>
      <c r="P159" s="3" t="str">
        <f>TEXT(Table1[[#This Row],[Order Date]],"mmmm")</f>
        <v>June</v>
      </c>
      <c r="Q159" s="6" t="str">
        <f t="shared" si="4"/>
        <v>الربع 2</v>
      </c>
    </row>
    <row r="160" spans="1:17" x14ac:dyDescent="0.3">
      <c r="A160" t="s">
        <v>336</v>
      </c>
      <c r="B160" s="1">
        <v>45831</v>
      </c>
      <c r="C160" s="2" t="s">
        <v>51</v>
      </c>
      <c r="D160" s="2" t="s">
        <v>15</v>
      </c>
      <c r="E160" s="2" t="s">
        <v>16</v>
      </c>
      <c r="F160" s="2" t="s">
        <v>17</v>
      </c>
      <c r="G160" s="2" t="s">
        <v>18</v>
      </c>
      <c r="H160" s="2" t="s">
        <v>337</v>
      </c>
      <c r="I160">
        <v>5</v>
      </c>
      <c r="J160" s="3">
        <v>120</v>
      </c>
      <c r="K160" s="3">
        <v>60</v>
      </c>
      <c r="L160" s="3">
        <v>600</v>
      </c>
      <c r="M160" t="s">
        <v>20</v>
      </c>
      <c r="N160" s="3">
        <f>Table1[[#This Row],[Total Sales]]-(Table1[[#This Row],[Quantity]]*Table1[[#This Row],[Unit Cost]])</f>
        <v>300</v>
      </c>
      <c r="O160" s="5">
        <f>IF(Table1[[#This Row],[Total Sales]]=0,0,Table1[[#This Row],[Profit]]/Table1[[#This Row],[Total Sales]])</f>
        <v>0.5</v>
      </c>
      <c r="P160" s="3" t="str">
        <f>TEXT(Table1[[#This Row],[Order Date]],"mmmm")</f>
        <v>June</v>
      </c>
      <c r="Q160" s="6" t="str">
        <f t="shared" si="4"/>
        <v>الربع 2</v>
      </c>
    </row>
    <row r="161" spans="1:17" x14ac:dyDescent="0.3">
      <c r="A161" t="s">
        <v>338</v>
      </c>
      <c r="B161" s="1">
        <v>45832</v>
      </c>
      <c r="C161" s="2" t="s">
        <v>54</v>
      </c>
      <c r="D161" s="2" t="s">
        <v>23</v>
      </c>
      <c r="E161" s="2" t="s">
        <v>24</v>
      </c>
      <c r="F161" s="2" t="s">
        <v>25</v>
      </c>
      <c r="G161" s="2" t="s">
        <v>31</v>
      </c>
      <c r="H161" s="2" t="s">
        <v>339</v>
      </c>
      <c r="I161">
        <v>1</v>
      </c>
      <c r="J161" s="3">
        <v>1100</v>
      </c>
      <c r="K161" s="3">
        <v>720</v>
      </c>
      <c r="L161" s="3">
        <v>1100</v>
      </c>
      <c r="M161" t="s">
        <v>20</v>
      </c>
      <c r="N161" s="3">
        <f>Table1[[#This Row],[Total Sales]]-(Table1[[#This Row],[Quantity]]*Table1[[#This Row],[Unit Cost]])</f>
        <v>380</v>
      </c>
      <c r="O161" s="5">
        <f>IF(Table1[[#This Row],[Total Sales]]=0,0,Table1[[#This Row],[Profit]]/Table1[[#This Row],[Total Sales]])</f>
        <v>0.34545454545454546</v>
      </c>
      <c r="P161" s="3" t="str">
        <f>TEXT(Table1[[#This Row],[Order Date]],"mmmm")</f>
        <v>June</v>
      </c>
      <c r="Q161" s="6" t="str">
        <f t="shared" si="4"/>
        <v>الربع 2</v>
      </c>
    </row>
    <row r="162" spans="1:17" x14ac:dyDescent="0.3">
      <c r="A162" t="s">
        <v>340</v>
      </c>
      <c r="B162" s="1">
        <v>45833</v>
      </c>
      <c r="C162" s="2" t="s">
        <v>14</v>
      </c>
      <c r="D162" s="2" t="s">
        <v>15</v>
      </c>
      <c r="E162" s="2" t="s">
        <v>16</v>
      </c>
      <c r="F162" s="2" t="s">
        <v>17</v>
      </c>
      <c r="G162" s="2" t="s">
        <v>26</v>
      </c>
      <c r="H162" s="2" t="s">
        <v>341</v>
      </c>
      <c r="I162">
        <v>2</v>
      </c>
      <c r="J162" s="3">
        <v>210</v>
      </c>
      <c r="K162" s="3">
        <v>110</v>
      </c>
      <c r="L162" s="3">
        <v>420</v>
      </c>
      <c r="M162" t="s">
        <v>20</v>
      </c>
      <c r="N162" s="3">
        <f>Table1[[#This Row],[Total Sales]]-(Table1[[#This Row],[Quantity]]*Table1[[#This Row],[Unit Cost]])</f>
        <v>200</v>
      </c>
      <c r="O162" s="5">
        <f>IF(Table1[[#This Row],[Total Sales]]=0,0,Table1[[#This Row],[Profit]]/Table1[[#This Row],[Total Sales]])</f>
        <v>0.47619047619047616</v>
      </c>
      <c r="P162" s="3" t="str">
        <f>TEXT(Table1[[#This Row],[Order Date]],"mmmm")</f>
        <v>June</v>
      </c>
      <c r="Q162" s="6" t="str">
        <f t="shared" ref="Q162:Q185" si="5">"الربع "&amp;ROUNDUP(MONTH(B162)/3,0)</f>
        <v>الربع 2</v>
      </c>
    </row>
    <row r="163" spans="1:17" x14ac:dyDescent="0.3">
      <c r="A163" t="s">
        <v>342</v>
      </c>
      <c r="B163" s="1">
        <v>45834</v>
      </c>
      <c r="C163" s="2" t="s">
        <v>22</v>
      </c>
      <c r="D163" s="2" t="s">
        <v>23</v>
      </c>
      <c r="E163" s="2" t="s">
        <v>377</v>
      </c>
      <c r="F163" s="2" t="s">
        <v>25</v>
      </c>
      <c r="G163" s="2" t="s">
        <v>39</v>
      </c>
      <c r="H163" s="2" t="s">
        <v>343</v>
      </c>
      <c r="I163">
        <v>4</v>
      </c>
      <c r="J163" s="3">
        <v>150</v>
      </c>
      <c r="K163" s="3">
        <v>75</v>
      </c>
      <c r="L163" s="3">
        <v>600</v>
      </c>
      <c r="M163" t="s">
        <v>20</v>
      </c>
      <c r="N163" s="3">
        <f>Table1[[#This Row],[Total Sales]]-(Table1[[#This Row],[Quantity]]*Table1[[#This Row],[Unit Cost]])</f>
        <v>300</v>
      </c>
      <c r="O163" s="5">
        <f>IF(Table1[[#This Row],[Total Sales]]=0,0,Table1[[#This Row],[Profit]]/Table1[[#This Row],[Total Sales]])</f>
        <v>0.5</v>
      </c>
      <c r="P163" s="3" t="str">
        <f>TEXT(Table1[[#This Row],[Order Date]],"mmmm")</f>
        <v>June</v>
      </c>
      <c r="Q163" s="6" t="str">
        <f t="shared" si="5"/>
        <v>الربع 2</v>
      </c>
    </row>
    <row r="164" spans="1:17" x14ac:dyDescent="0.3">
      <c r="A164" t="s">
        <v>344</v>
      </c>
      <c r="B164" s="1">
        <v>45835</v>
      </c>
      <c r="C164" s="2" t="s">
        <v>29</v>
      </c>
      <c r="D164" s="2" t="s">
        <v>30</v>
      </c>
      <c r="E164" s="2" t="s">
        <v>16</v>
      </c>
      <c r="F164" s="2" t="s">
        <v>17</v>
      </c>
      <c r="G164" s="2" t="s">
        <v>18</v>
      </c>
      <c r="H164" s="2" t="s">
        <v>345</v>
      </c>
      <c r="I164">
        <v>8</v>
      </c>
      <c r="J164" s="3">
        <v>55</v>
      </c>
      <c r="K164" s="3">
        <v>25</v>
      </c>
      <c r="L164" s="3">
        <v>440</v>
      </c>
      <c r="M164" t="s">
        <v>20</v>
      </c>
      <c r="N164" s="3">
        <f>Table1[[#This Row],[Total Sales]]-(Table1[[#This Row],[Quantity]]*Table1[[#This Row],[Unit Cost]])</f>
        <v>240</v>
      </c>
      <c r="O164" s="5">
        <f>IF(Table1[[#This Row],[Total Sales]]=0,0,Table1[[#This Row],[Profit]]/Table1[[#This Row],[Total Sales]])</f>
        <v>0.54545454545454541</v>
      </c>
      <c r="P164" s="3" t="str">
        <f>TEXT(Table1[[#This Row],[Order Date]],"mmmm")</f>
        <v>June</v>
      </c>
      <c r="Q164" s="6" t="str">
        <f t="shared" si="5"/>
        <v>الربع 2</v>
      </c>
    </row>
    <row r="165" spans="1:17" x14ac:dyDescent="0.3">
      <c r="A165" t="s">
        <v>346</v>
      </c>
      <c r="B165" s="1">
        <v>45836</v>
      </c>
      <c r="C165" s="2" t="s">
        <v>34</v>
      </c>
      <c r="D165" s="2" t="s">
        <v>15</v>
      </c>
      <c r="E165" s="2" t="s">
        <v>24</v>
      </c>
      <c r="F165" s="2" t="s">
        <v>25</v>
      </c>
      <c r="G165" s="2" t="s">
        <v>31</v>
      </c>
      <c r="H165" s="2" t="s">
        <v>347</v>
      </c>
      <c r="I165">
        <v>1</v>
      </c>
      <c r="J165" s="3">
        <v>290</v>
      </c>
      <c r="K165" s="3">
        <v>160</v>
      </c>
      <c r="L165" s="3">
        <v>290</v>
      </c>
      <c r="M165" t="s">
        <v>20</v>
      </c>
      <c r="N165" s="3">
        <f>Table1[[#This Row],[Total Sales]]-(Table1[[#This Row],[Quantity]]*Table1[[#This Row],[Unit Cost]])</f>
        <v>130</v>
      </c>
      <c r="O165" s="5">
        <f>IF(Table1[[#This Row],[Total Sales]]=0,0,Table1[[#This Row],[Profit]]/Table1[[#This Row],[Total Sales]])</f>
        <v>0.44827586206896552</v>
      </c>
      <c r="P165" s="3" t="str">
        <f>TEXT(Table1[[#This Row],[Order Date]],"mmmm")</f>
        <v>June</v>
      </c>
      <c r="Q165" s="6" t="str">
        <f t="shared" si="5"/>
        <v>الربع 2</v>
      </c>
    </row>
    <row r="166" spans="1:17" x14ac:dyDescent="0.3">
      <c r="A166" t="s">
        <v>348</v>
      </c>
      <c r="B166" s="1">
        <v>45837</v>
      </c>
      <c r="C166" s="2" t="s">
        <v>37</v>
      </c>
      <c r="D166" s="2" t="s">
        <v>38</v>
      </c>
      <c r="E166" s="2" t="s">
        <v>16</v>
      </c>
      <c r="F166" s="2" t="s">
        <v>17</v>
      </c>
      <c r="G166" s="2" t="s">
        <v>26</v>
      </c>
      <c r="H166" s="2" t="s">
        <v>349</v>
      </c>
      <c r="I166">
        <v>1</v>
      </c>
      <c r="J166" s="3">
        <v>480</v>
      </c>
      <c r="K166" s="3">
        <v>270</v>
      </c>
      <c r="L166" s="3">
        <v>480</v>
      </c>
      <c r="M166" t="s">
        <v>20</v>
      </c>
      <c r="N166" s="3">
        <f>Table1[[#This Row],[Total Sales]]-(Table1[[#This Row],[Quantity]]*Table1[[#This Row],[Unit Cost]])</f>
        <v>210</v>
      </c>
      <c r="O166" s="5">
        <f>IF(Table1[[#This Row],[Total Sales]]=0,0,Table1[[#This Row],[Profit]]/Table1[[#This Row],[Total Sales]])</f>
        <v>0.4375</v>
      </c>
      <c r="P166" s="3" t="str">
        <f>TEXT(Table1[[#This Row],[Order Date]],"mmmm")</f>
        <v>June</v>
      </c>
      <c r="Q166" s="6" t="str">
        <f t="shared" si="5"/>
        <v>الربع 2</v>
      </c>
    </row>
    <row r="167" spans="1:17" x14ac:dyDescent="0.3">
      <c r="A167" t="s">
        <v>350</v>
      </c>
      <c r="B167" s="1">
        <v>45838</v>
      </c>
      <c r="C167" s="2" t="s">
        <v>42</v>
      </c>
      <c r="D167" s="2" t="s">
        <v>15</v>
      </c>
      <c r="E167" s="2" t="s">
        <v>16</v>
      </c>
      <c r="F167" s="2" t="s">
        <v>25</v>
      </c>
      <c r="G167" s="2" t="s">
        <v>39</v>
      </c>
      <c r="H167" s="2" t="s">
        <v>351</v>
      </c>
      <c r="I167">
        <v>2</v>
      </c>
      <c r="J167" s="3">
        <v>240</v>
      </c>
      <c r="K167" s="3">
        <v>130</v>
      </c>
      <c r="L167" s="3">
        <v>480</v>
      </c>
      <c r="M167" t="s">
        <v>20</v>
      </c>
      <c r="N167" s="3">
        <f>Table1[[#This Row],[Total Sales]]-(Table1[[#This Row],[Quantity]]*Table1[[#This Row],[Unit Cost]])</f>
        <v>220</v>
      </c>
      <c r="O167" s="5">
        <f>IF(Table1[[#This Row],[Total Sales]]=0,0,Table1[[#This Row],[Profit]]/Table1[[#This Row],[Total Sales]])</f>
        <v>0.45833333333333331</v>
      </c>
      <c r="P167" s="3" t="str">
        <f>TEXT(Table1[[#This Row],[Order Date]],"mmmm")</f>
        <v>June</v>
      </c>
      <c r="Q167" s="6" t="str">
        <f t="shared" si="5"/>
        <v>الربع 2</v>
      </c>
    </row>
    <row r="168" spans="1:17" x14ac:dyDescent="0.3">
      <c r="A168" t="s">
        <v>352</v>
      </c>
      <c r="B168" s="1">
        <v>45839</v>
      </c>
      <c r="C168" s="2" t="s">
        <v>45</v>
      </c>
      <c r="D168" s="2" t="s">
        <v>23</v>
      </c>
      <c r="E168" s="2" t="s">
        <v>24</v>
      </c>
      <c r="F168" s="2" t="s">
        <v>17</v>
      </c>
      <c r="G168" s="2" t="s">
        <v>18</v>
      </c>
      <c r="H168" s="2" t="s">
        <v>353</v>
      </c>
      <c r="I168">
        <v>1</v>
      </c>
      <c r="J168" s="3">
        <v>1850</v>
      </c>
      <c r="K168" s="3">
        <v>1250</v>
      </c>
      <c r="L168" s="3">
        <v>1850</v>
      </c>
      <c r="M168" t="s">
        <v>20</v>
      </c>
      <c r="N168" s="3">
        <f>Table1[[#This Row],[Total Sales]]-(Table1[[#This Row],[Quantity]]*Table1[[#This Row],[Unit Cost]])</f>
        <v>600</v>
      </c>
      <c r="O168" s="5">
        <f>IF(Table1[[#This Row],[Total Sales]]=0,0,Table1[[#This Row],[Profit]]/Table1[[#This Row],[Total Sales]])</f>
        <v>0.32432432432432434</v>
      </c>
      <c r="P168" s="3" t="str">
        <f>TEXT(Table1[[#This Row],[Order Date]],"mmmm")</f>
        <v>July</v>
      </c>
      <c r="Q168" s="6" t="str">
        <f t="shared" si="5"/>
        <v>الربع 3</v>
      </c>
    </row>
    <row r="169" spans="1:17" x14ac:dyDescent="0.3">
      <c r="A169" t="s">
        <v>354</v>
      </c>
      <c r="B169" s="1">
        <v>45840</v>
      </c>
      <c r="C169" s="2" t="s">
        <v>48</v>
      </c>
      <c r="D169" s="2" t="s">
        <v>30</v>
      </c>
      <c r="E169" s="2" t="s">
        <v>24</v>
      </c>
      <c r="F169" s="2" t="s">
        <v>25</v>
      </c>
      <c r="G169" s="2" t="s">
        <v>31</v>
      </c>
      <c r="H169" s="2" t="s">
        <v>291</v>
      </c>
      <c r="I169">
        <v>1</v>
      </c>
      <c r="J169" s="3">
        <v>320</v>
      </c>
      <c r="K169" s="3">
        <v>180</v>
      </c>
      <c r="L169" s="3">
        <v>320</v>
      </c>
      <c r="M169" t="s">
        <v>20</v>
      </c>
      <c r="N169" s="3">
        <f>Table1[[#This Row],[Total Sales]]-(Table1[[#This Row],[Quantity]]*Table1[[#This Row],[Unit Cost]])</f>
        <v>140</v>
      </c>
      <c r="O169" s="5">
        <f>IF(Table1[[#This Row],[Total Sales]]=0,0,Table1[[#This Row],[Profit]]/Table1[[#This Row],[Total Sales]])</f>
        <v>0.4375</v>
      </c>
      <c r="P169" s="3" t="str">
        <f>TEXT(Table1[[#This Row],[Order Date]],"mmmm")</f>
        <v>July</v>
      </c>
      <c r="Q169" s="6" t="str">
        <f t="shared" si="5"/>
        <v>الربع 3</v>
      </c>
    </row>
    <row r="170" spans="1:17" x14ac:dyDescent="0.3">
      <c r="A170" t="s">
        <v>355</v>
      </c>
      <c r="B170" s="1">
        <v>45841</v>
      </c>
      <c r="C170" s="2" t="s">
        <v>51</v>
      </c>
      <c r="D170" s="2" t="s">
        <v>15</v>
      </c>
      <c r="E170" s="2" t="s">
        <v>16</v>
      </c>
      <c r="F170" s="2" t="s">
        <v>17</v>
      </c>
      <c r="G170" s="2" t="s">
        <v>26</v>
      </c>
      <c r="H170" s="2" t="s">
        <v>356</v>
      </c>
      <c r="I170">
        <v>6</v>
      </c>
      <c r="J170" s="3">
        <v>85</v>
      </c>
      <c r="K170" s="3">
        <v>40</v>
      </c>
      <c r="L170" s="3">
        <v>510</v>
      </c>
      <c r="M170" t="s">
        <v>20</v>
      </c>
      <c r="N170" s="3">
        <f>Table1[[#This Row],[Total Sales]]-(Table1[[#This Row],[Quantity]]*Table1[[#This Row],[Unit Cost]])</f>
        <v>270</v>
      </c>
      <c r="O170" s="5">
        <f>IF(Table1[[#This Row],[Total Sales]]=0,0,Table1[[#This Row],[Profit]]/Table1[[#This Row],[Total Sales]])</f>
        <v>0.52941176470588236</v>
      </c>
      <c r="P170" s="3" t="str">
        <f>TEXT(Table1[[#This Row],[Order Date]],"mmmm")</f>
        <v>July</v>
      </c>
      <c r="Q170" s="6" t="str">
        <f t="shared" si="5"/>
        <v>الربع 3</v>
      </c>
    </row>
    <row r="171" spans="1:17" x14ac:dyDescent="0.3">
      <c r="A171" t="s">
        <v>357</v>
      </c>
      <c r="B171" s="1">
        <v>45754</v>
      </c>
      <c r="C171" s="2" t="s">
        <v>54</v>
      </c>
      <c r="D171" s="2" t="s">
        <v>23</v>
      </c>
      <c r="E171" s="2" t="s">
        <v>24</v>
      </c>
      <c r="F171" s="2" t="s">
        <v>25</v>
      </c>
      <c r="G171" s="2" t="s">
        <v>39</v>
      </c>
      <c r="H171" s="2" t="s">
        <v>358</v>
      </c>
      <c r="I171">
        <v>3</v>
      </c>
      <c r="J171" s="3">
        <v>180</v>
      </c>
      <c r="K171" s="3">
        <v>95</v>
      </c>
      <c r="L171" s="3">
        <v>540</v>
      </c>
      <c r="M171" t="s">
        <v>20</v>
      </c>
      <c r="N171" s="3">
        <f>Table1[[#This Row],[Total Sales]]-(Table1[[#This Row],[Quantity]]*Table1[[#This Row],[Unit Cost]])</f>
        <v>255</v>
      </c>
      <c r="O171" s="5">
        <f>IF(Table1[[#This Row],[Total Sales]]=0,0,Table1[[#This Row],[Profit]]/Table1[[#This Row],[Total Sales]])</f>
        <v>0.47222222222222221</v>
      </c>
      <c r="P171" s="3" t="str">
        <f>TEXT(Table1[[#This Row],[Order Date]],"mmmm")</f>
        <v>April</v>
      </c>
      <c r="Q171" s="6" t="str">
        <f t="shared" si="5"/>
        <v>الربع 2</v>
      </c>
    </row>
    <row r="172" spans="1:17" x14ac:dyDescent="0.3">
      <c r="A172" t="s">
        <v>359</v>
      </c>
      <c r="B172" s="1">
        <v>45843</v>
      </c>
      <c r="C172" s="2" t="s">
        <v>14</v>
      </c>
      <c r="D172" s="2" t="s">
        <v>15</v>
      </c>
      <c r="E172" s="2" t="s">
        <v>16</v>
      </c>
      <c r="F172" s="2" t="s">
        <v>17</v>
      </c>
      <c r="G172" s="2" t="s">
        <v>18</v>
      </c>
      <c r="H172" s="2" t="s">
        <v>35</v>
      </c>
      <c r="I172">
        <v>1</v>
      </c>
      <c r="J172" s="3">
        <v>450</v>
      </c>
      <c r="K172" s="3">
        <v>240</v>
      </c>
      <c r="L172" s="3">
        <v>450</v>
      </c>
      <c r="M172" t="s">
        <v>20</v>
      </c>
      <c r="N172" s="3">
        <f>Table1[[#This Row],[Total Sales]]-(Table1[[#This Row],[Quantity]]*Table1[[#This Row],[Unit Cost]])</f>
        <v>210</v>
      </c>
      <c r="O172" s="5">
        <f>IF(Table1[[#This Row],[Total Sales]]=0,0,Table1[[#This Row],[Profit]]/Table1[[#This Row],[Total Sales]])</f>
        <v>0.46666666666666667</v>
      </c>
      <c r="P172" s="3" t="str">
        <f>TEXT(Table1[[#This Row],[Order Date]],"mmmm")</f>
        <v>July</v>
      </c>
      <c r="Q172" s="6" t="str">
        <f t="shared" si="5"/>
        <v>الربع 3</v>
      </c>
    </row>
    <row r="173" spans="1:17" x14ac:dyDescent="0.3">
      <c r="A173" t="s">
        <v>360</v>
      </c>
      <c r="B173" s="1">
        <v>45844</v>
      </c>
      <c r="C173" s="2" t="s">
        <v>22</v>
      </c>
      <c r="D173" s="2" t="s">
        <v>23</v>
      </c>
      <c r="E173" s="2" t="s">
        <v>24</v>
      </c>
      <c r="F173" s="2" t="s">
        <v>25</v>
      </c>
      <c r="G173" s="2" t="s">
        <v>31</v>
      </c>
      <c r="H173" s="2" t="s">
        <v>361</v>
      </c>
      <c r="I173">
        <v>1</v>
      </c>
      <c r="J173" s="3">
        <v>380</v>
      </c>
      <c r="K173" s="3">
        <v>210</v>
      </c>
      <c r="L173" s="3">
        <v>380</v>
      </c>
      <c r="M173" t="s">
        <v>20</v>
      </c>
      <c r="N173" s="3">
        <f>Table1[[#This Row],[Total Sales]]-(Table1[[#This Row],[Quantity]]*Table1[[#This Row],[Unit Cost]])</f>
        <v>170</v>
      </c>
      <c r="O173" s="5">
        <f>IF(Table1[[#This Row],[Total Sales]]=0,0,Table1[[#This Row],[Profit]]/Table1[[#This Row],[Total Sales]])</f>
        <v>0.44736842105263158</v>
      </c>
      <c r="P173" s="3" t="str">
        <f>TEXT(Table1[[#This Row],[Order Date]],"mmmm")</f>
        <v>July</v>
      </c>
      <c r="Q173" s="6" t="str">
        <f t="shared" si="5"/>
        <v>الربع 3</v>
      </c>
    </row>
    <row r="174" spans="1:17" x14ac:dyDescent="0.3">
      <c r="A174" t="s">
        <v>362</v>
      </c>
      <c r="B174" s="1">
        <v>45845</v>
      </c>
      <c r="C174" s="2" t="s">
        <v>29</v>
      </c>
      <c r="D174" s="2" t="s">
        <v>30</v>
      </c>
      <c r="E174" s="2" t="s">
        <v>16</v>
      </c>
      <c r="F174" s="2" t="s">
        <v>17</v>
      </c>
      <c r="G174" s="2" t="s">
        <v>26</v>
      </c>
      <c r="H174" s="2" t="s">
        <v>363</v>
      </c>
      <c r="I174">
        <v>1</v>
      </c>
      <c r="J174" s="3">
        <v>950</v>
      </c>
      <c r="K174" s="3">
        <v>550</v>
      </c>
      <c r="L174" s="3">
        <v>950</v>
      </c>
      <c r="M174" t="s">
        <v>20</v>
      </c>
      <c r="N174" s="3">
        <f>Table1[[#This Row],[Total Sales]]-(Table1[[#This Row],[Quantity]]*Table1[[#This Row],[Unit Cost]])</f>
        <v>400</v>
      </c>
      <c r="O174" s="5">
        <f>IF(Table1[[#This Row],[Total Sales]]=0,0,Table1[[#This Row],[Profit]]/Table1[[#This Row],[Total Sales]])</f>
        <v>0.42105263157894735</v>
      </c>
      <c r="P174" s="3" t="str">
        <f>TEXT(Table1[[#This Row],[Order Date]],"mmmm")</f>
        <v>July</v>
      </c>
      <c r="Q174" s="6" t="str">
        <f t="shared" si="5"/>
        <v>الربع 3</v>
      </c>
    </row>
    <row r="175" spans="1:17" x14ac:dyDescent="0.3">
      <c r="A175" t="s">
        <v>364</v>
      </c>
      <c r="B175" s="1">
        <v>45846</v>
      </c>
      <c r="C175" s="2" t="s">
        <v>34</v>
      </c>
      <c r="D175" s="2" t="s">
        <v>15</v>
      </c>
      <c r="E175" s="2" t="s">
        <v>24</v>
      </c>
      <c r="F175" s="2" t="s">
        <v>25</v>
      </c>
      <c r="G175" s="2" t="s">
        <v>39</v>
      </c>
      <c r="H175" s="2" t="s">
        <v>143</v>
      </c>
      <c r="I175">
        <v>12</v>
      </c>
      <c r="J175" s="3">
        <v>40</v>
      </c>
      <c r="K175" s="3">
        <v>18</v>
      </c>
      <c r="L175" s="3">
        <v>480</v>
      </c>
      <c r="M175" t="s">
        <v>20</v>
      </c>
      <c r="N175" s="3">
        <f>Table1[[#This Row],[Total Sales]]-(Table1[[#This Row],[Quantity]]*Table1[[#This Row],[Unit Cost]])</f>
        <v>264</v>
      </c>
      <c r="O175" s="5">
        <f>IF(Table1[[#This Row],[Total Sales]]=0,0,Table1[[#This Row],[Profit]]/Table1[[#This Row],[Total Sales]])</f>
        <v>0.55000000000000004</v>
      </c>
      <c r="P175" s="3" t="str">
        <f>TEXT(Table1[[#This Row],[Order Date]],"mmmm")</f>
        <v>July</v>
      </c>
      <c r="Q175" s="6" t="str">
        <f t="shared" si="5"/>
        <v>الربع 3</v>
      </c>
    </row>
    <row r="176" spans="1:17" x14ac:dyDescent="0.3">
      <c r="A176" t="s">
        <v>365</v>
      </c>
      <c r="B176" s="1">
        <v>45847</v>
      </c>
      <c r="C176" s="2" t="s">
        <v>37</v>
      </c>
      <c r="D176" s="2" t="s">
        <v>38</v>
      </c>
      <c r="E176" s="2" t="s">
        <v>16</v>
      </c>
      <c r="F176" s="2" t="s">
        <v>17</v>
      </c>
      <c r="G176" s="2" t="s">
        <v>18</v>
      </c>
      <c r="H176" s="2" t="s">
        <v>366</v>
      </c>
      <c r="I176">
        <v>2</v>
      </c>
      <c r="J176" s="3">
        <v>280</v>
      </c>
      <c r="K176" s="3">
        <v>150</v>
      </c>
      <c r="L176" s="3">
        <v>560</v>
      </c>
      <c r="M176" t="s">
        <v>20</v>
      </c>
      <c r="N176" s="3">
        <f>Table1[[#This Row],[Total Sales]]-(Table1[[#This Row],[Quantity]]*Table1[[#This Row],[Unit Cost]])</f>
        <v>260</v>
      </c>
      <c r="O176" s="5">
        <f>IF(Table1[[#This Row],[Total Sales]]=0,0,Table1[[#This Row],[Profit]]/Table1[[#This Row],[Total Sales]])</f>
        <v>0.4642857142857143</v>
      </c>
      <c r="P176" s="3" t="str">
        <f>TEXT(Table1[[#This Row],[Order Date]],"mmmm")</f>
        <v>July</v>
      </c>
      <c r="Q176" s="6" t="str">
        <f t="shared" si="5"/>
        <v>الربع 3</v>
      </c>
    </row>
    <row r="177" spans="1:17" x14ac:dyDescent="0.3">
      <c r="A177" t="s">
        <v>367</v>
      </c>
      <c r="B177" s="1">
        <v>45937</v>
      </c>
      <c r="C177" s="2" t="s">
        <v>42</v>
      </c>
      <c r="D177" s="2" t="s">
        <v>15</v>
      </c>
      <c r="E177" s="2" t="s">
        <v>16</v>
      </c>
      <c r="F177" s="2" t="s">
        <v>25</v>
      </c>
      <c r="G177" s="2" t="s">
        <v>31</v>
      </c>
      <c r="H177" s="2" t="s">
        <v>368</v>
      </c>
      <c r="I177">
        <v>2</v>
      </c>
      <c r="J177" s="3">
        <v>195</v>
      </c>
      <c r="K177" s="3">
        <v>105</v>
      </c>
      <c r="L177" s="3">
        <v>390</v>
      </c>
      <c r="M177" t="s">
        <v>20</v>
      </c>
      <c r="N177" s="3">
        <f>Table1[[#This Row],[Total Sales]]-(Table1[[#This Row],[Quantity]]*Table1[[#This Row],[Unit Cost]])</f>
        <v>180</v>
      </c>
      <c r="O177" s="5">
        <f>IF(Table1[[#This Row],[Total Sales]]=0,0,Table1[[#This Row],[Profit]]/Table1[[#This Row],[Total Sales]])</f>
        <v>0.46153846153846156</v>
      </c>
      <c r="P177" s="3" t="str">
        <f>TEXT(Table1[[#This Row],[Order Date]],"mmmm")</f>
        <v>October</v>
      </c>
      <c r="Q177" s="6" t="str">
        <f t="shared" si="5"/>
        <v>الربع 4</v>
      </c>
    </row>
    <row r="178" spans="1:17" x14ac:dyDescent="0.3">
      <c r="A178" t="s">
        <v>369</v>
      </c>
      <c r="B178" s="1">
        <v>45849</v>
      </c>
      <c r="C178" s="2" t="s">
        <v>45</v>
      </c>
      <c r="D178" s="2" t="s">
        <v>23</v>
      </c>
      <c r="E178" s="2" t="s">
        <v>24</v>
      </c>
      <c r="F178" s="2" t="s">
        <v>17</v>
      </c>
      <c r="G178" s="2" t="s">
        <v>26</v>
      </c>
      <c r="H178" s="2" t="s">
        <v>43</v>
      </c>
      <c r="I178">
        <v>1</v>
      </c>
      <c r="J178" s="3">
        <v>920</v>
      </c>
      <c r="K178" s="3">
        <v>520</v>
      </c>
      <c r="L178" s="3">
        <v>920</v>
      </c>
      <c r="M178" t="s">
        <v>20</v>
      </c>
      <c r="N178" s="3">
        <f>Table1[[#This Row],[Total Sales]]-(Table1[[#This Row],[Quantity]]*Table1[[#This Row],[Unit Cost]])</f>
        <v>400</v>
      </c>
      <c r="O178" s="5">
        <f>IF(Table1[[#This Row],[Total Sales]]=0,0,Table1[[#This Row],[Profit]]/Table1[[#This Row],[Total Sales]])</f>
        <v>0.43478260869565216</v>
      </c>
      <c r="P178" s="3" t="str">
        <f>TEXT(Table1[[#This Row],[Order Date]],"mmmm")</f>
        <v>July</v>
      </c>
      <c r="Q178" s="6" t="str">
        <f t="shared" si="5"/>
        <v>الربع 3</v>
      </c>
    </row>
    <row r="179" spans="1:17" x14ac:dyDescent="0.3">
      <c r="A179" t="s">
        <v>370</v>
      </c>
      <c r="B179" s="1">
        <v>45850</v>
      </c>
      <c r="C179" s="2" t="s">
        <v>48</v>
      </c>
      <c r="D179" s="2" t="s">
        <v>30</v>
      </c>
      <c r="E179" s="2" t="s">
        <v>24</v>
      </c>
      <c r="F179" s="2" t="s">
        <v>25</v>
      </c>
      <c r="G179" s="2" t="s">
        <v>39</v>
      </c>
      <c r="H179" s="2" t="s">
        <v>150</v>
      </c>
      <c r="I179">
        <v>1</v>
      </c>
      <c r="J179" s="3">
        <v>1250</v>
      </c>
      <c r="K179" s="3">
        <v>780</v>
      </c>
      <c r="L179" s="3">
        <v>1250</v>
      </c>
      <c r="M179" t="s">
        <v>20</v>
      </c>
      <c r="N179" s="3">
        <f>Table1[[#This Row],[Total Sales]]-(Table1[[#This Row],[Quantity]]*Table1[[#This Row],[Unit Cost]])</f>
        <v>470</v>
      </c>
      <c r="O179" s="5">
        <f>IF(Table1[[#This Row],[Total Sales]]=0,0,Table1[[#This Row],[Profit]]/Table1[[#This Row],[Total Sales]])</f>
        <v>0.376</v>
      </c>
      <c r="P179" s="3" t="str">
        <f>TEXT(Table1[[#This Row],[Order Date]],"mmmm")</f>
        <v>July</v>
      </c>
      <c r="Q179" s="6" t="str">
        <f t="shared" si="5"/>
        <v>الربع 3</v>
      </c>
    </row>
    <row r="180" spans="1:17" x14ac:dyDescent="0.3">
      <c r="A180" t="s">
        <v>371</v>
      </c>
      <c r="B180" s="1">
        <v>45851</v>
      </c>
      <c r="C180" s="2" t="s">
        <v>51</v>
      </c>
      <c r="D180" s="2" t="s">
        <v>15</v>
      </c>
      <c r="E180" s="2" t="s">
        <v>16</v>
      </c>
      <c r="F180" s="2" t="s">
        <v>17</v>
      </c>
      <c r="G180" s="2" t="s">
        <v>18</v>
      </c>
      <c r="H180" s="2" t="s">
        <v>152</v>
      </c>
      <c r="I180">
        <v>3</v>
      </c>
      <c r="J180" s="3">
        <v>140</v>
      </c>
      <c r="K180" s="3">
        <v>75</v>
      </c>
      <c r="L180" s="3">
        <v>420</v>
      </c>
      <c r="M180" t="s">
        <v>20</v>
      </c>
      <c r="N180" s="3">
        <f>Table1[[#This Row],[Total Sales]]-(Table1[[#This Row],[Quantity]]*Table1[[#This Row],[Unit Cost]])</f>
        <v>195</v>
      </c>
      <c r="O180" s="5">
        <f>IF(Table1[[#This Row],[Total Sales]]=0,0,Table1[[#This Row],[Profit]]/Table1[[#This Row],[Total Sales]])</f>
        <v>0.4642857142857143</v>
      </c>
      <c r="P180" s="3" t="str">
        <f>TEXT(Table1[[#This Row],[Order Date]],"mmmm")</f>
        <v>July</v>
      </c>
      <c r="Q180" s="6" t="str">
        <f t="shared" si="5"/>
        <v>الربع 3</v>
      </c>
    </row>
    <row r="181" spans="1:17" x14ac:dyDescent="0.3">
      <c r="A181" t="s">
        <v>372</v>
      </c>
      <c r="B181" s="1">
        <v>45852</v>
      </c>
      <c r="C181" s="2" t="s">
        <v>54</v>
      </c>
      <c r="D181" s="2" t="s">
        <v>23</v>
      </c>
      <c r="E181" s="2" t="s">
        <v>24</v>
      </c>
      <c r="F181" s="2" t="s">
        <v>25</v>
      </c>
      <c r="G181" s="2" t="s">
        <v>31</v>
      </c>
      <c r="H181" s="2" t="s">
        <v>154</v>
      </c>
      <c r="I181">
        <v>1</v>
      </c>
      <c r="J181" s="3">
        <v>3800</v>
      </c>
      <c r="K181" s="3">
        <v>2800</v>
      </c>
      <c r="L181" s="3">
        <v>3800</v>
      </c>
      <c r="M181" t="s">
        <v>20</v>
      </c>
      <c r="N181" s="3">
        <f>Table1[[#This Row],[Total Sales]]-(Table1[[#This Row],[Quantity]]*Table1[[#This Row],[Unit Cost]])</f>
        <v>1000</v>
      </c>
      <c r="O181" s="5">
        <f>IF(Table1[[#This Row],[Total Sales]]=0,0,Table1[[#This Row],[Profit]]/Table1[[#This Row],[Total Sales]])</f>
        <v>0.26315789473684209</v>
      </c>
      <c r="P181" s="3" t="str">
        <f>TEXT(Table1[[#This Row],[Order Date]],"mmmm")</f>
        <v>July</v>
      </c>
      <c r="Q181" s="6" t="str">
        <f t="shared" si="5"/>
        <v>الربع 3</v>
      </c>
    </row>
    <row r="182" spans="1:17" x14ac:dyDescent="0.3">
      <c r="A182" t="s">
        <v>373</v>
      </c>
      <c r="B182" s="1">
        <v>45853</v>
      </c>
      <c r="C182" s="2" t="s">
        <v>14</v>
      </c>
      <c r="D182" s="2" t="s">
        <v>15</v>
      </c>
      <c r="E182" s="2" t="s">
        <v>16</v>
      </c>
      <c r="F182" s="2" t="s">
        <v>17</v>
      </c>
      <c r="G182" s="2" t="s">
        <v>26</v>
      </c>
      <c r="H182" s="2" t="s">
        <v>27</v>
      </c>
      <c r="I182">
        <v>1</v>
      </c>
      <c r="J182" s="3">
        <v>620</v>
      </c>
      <c r="K182" s="3">
        <v>360</v>
      </c>
      <c r="L182" s="3">
        <v>620</v>
      </c>
      <c r="M182" t="s">
        <v>20</v>
      </c>
      <c r="N182" s="3">
        <f>Table1[[#This Row],[Total Sales]]-(Table1[[#This Row],[Quantity]]*Table1[[#This Row],[Unit Cost]])</f>
        <v>260</v>
      </c>
      <c r="O182" s="5">
        <f>IF(Table1[[#This Row],[Total Sales]]=0,0,Table1[[#This Row],[Profit]]/Table1[[#This Row],[Total Sales]])</f>
        <v>0.41935483870967744</v>
      </c>
      <c r="P182" s="3" t="str">
        <f>TEXT(Table1[[#This Row],[Order Date]],"mmmm")</f>
        <v>July</v>
      </c>
      <c r="Q182" s="6" t="str">
        <f t="shared" si="5"/>
        <v>الربع 3</v>
      </c>
    </row>
    <row r="183" spans="1:17" x14ac:dyDescent="0.3">
      <c r="A183" t="s">
        <v>374</v>
      </c>
      <c r="B183" s="1">
        <v>45854</v>
      </c>
      <c r="C183" s="2" t="s">
        <v>22</v>
      </c>
      <c r="D183" s="2" t="s">
        <v>23</v>
      </c>
      <c r="E183" s="2" t="s">
        <v>377</v>
      </c>
      <c r="F183" s="2" t="s">
        <v>25</v>
      </c>
      <c r="G183" s="2" t="s">
        <v>39</v>
      </c>
      <c r="H183" s="2" t="s">
        <v>158</v>
      </c>
      <c r="I183">
        <v>1</v>
      </c>
      <c r="J183" s="3">
        <v>2100</v>
      </c>
      <c r="K183" s="3">
        <v>1350</v>
      </c>
      <c r="L183" s="3">
        <v>2100</v>
      </c>
      <c r="M183" t="s">
        <v>20</v>
      </c>
      <c r="N183" s="3">
        <f>Table1[[#This Row],[Total Sales]]-(Table1[[#This Row],[Quantity]]*Table1[[#This Row],[Unit Cost]])</f>
        <v>750</v>
      </c>
      <c r="O183" s="5">
        <f>IF(Table1[[#This Row],[Total Sales]]=0,0,Table1[[#This Row],[Profit]]/Table1[[#This Row],[Total Sales]])</f>
        <v>0.35714285714285715</v>
      </c>
      <c r="P183" s="3" t="str">
        <f>TEXT(Table1[[#This Row],[Order Date]],"mmmm")</f>
        <v>July</v>
      </c>
      <c r="Q183" s="6" t="str">
        <f t="shared" si="5"/>
        <v>الربع 3</v>
      </c>
    </row>
    <row r="184" spans="1:17" x14ac:dyDescent="0.3">
      <c r="A184" t="s">
        <v>375</v>
      </c>
      <c r="B184" s="1">
        <v>45855</v>
      </c>
      <c r="C184" s="2" t="s">
        <v>29</v>
      </c>
      <c r="D184" s="2" t="s">
        <v>30</v>
      </c>
      <c r="E184" s="2" t="s">
        <v>16</v>
      </c>
      <c r="F184" s="2" t="s">
        <v>17</v>
      </c>
      <c r="G184" s="2" t="s">
        <v>18</v>
      </c>
      <c r="H184" s="2" t="s">
        <v>160</v>
      </c>
      <c r="I184">
        <v>1</v>
      </c>
      <c r="J184" s="3">
        <v>950</v>
      </c>
      <c r="K184" s="3">
        <v>580</v>
      </c>
      <c r="L184" s="3">
        <v>950</v>
      </c>
      <c r="M184" t="s">
        <v>20</v>
      </c>
      <c r="N184" s="3">
        <f>Table1[[#This Row],[Total Sales]]-(Table1[[#This Row],[Quantity]]*Table1[[#This Row],[Unit Cost]])</f>
        <v>370</v>
      </c>
      <c r="O184" s="5">
        <f>IF(Table1[[#This Row],[Total Sales]]=0,0,Table1[[#This Row],[Profit]]/Table1[[#This Row],[Total Sales]])</f>
        <v>0.38947368421052631</v>
      </c>
      <c r="P184" s="3" t="str">
        <f>TEXT(Table1[[#This Row],[Order Date]],"mmmm")</f>
        <v>July</v>
      </c>
      <c r="Q184" s="6" t="str">
        <f t="shared" si="5"/>
        <v>الربع 3</v>
      </c>
    </row>
    <row r="185" spans="1:17" x14ac:dyDescent="0.3">
      <c r="A185" t="s">
        <v>376</v>
      </c>
      <c r="B185" s="1">
        <v>45856</v>
      </c>
      <c r="C185" s="2" t="s">
        <v>34</v>
      </c>
      <c r="D185" s="2" t="s">
        <v>15</v>
      </c>
      <c r="E185" s="2" t="s">
        <v>24</v>
      </c>
      <c r="F185" s="2" t="s">
        <v>25</v>
      </c>
      <c r="G185" s="2" t="s">
        <v>31</v>
      </c>
      <c r="H185" s="2" t="s">
        <v>67</v>
      </c>
      <c r="I185">
        <v>1</v>
      </c>
      <c r="J185" s="3">
        <v>2200</v>
      </c>
      <c r="K185" s="3">
        <v>1550</v>
      </c>
      <c r="L185" s="3">
        <v>2200</v>
      </c>
      <c r="M185" t="s">
        <v>20</v>
      </c>
      <c r="N185" s="3">
        <f>Table1[[#This Row],[Total Sales]]-(Table1[[#This Row],[Quantity]]*Table1[[#This Row],[Unit Cost]])</f>
        <v>650</v>
      </c>
      <c r="O185" s="5">
        <f>IF(Table1[[#This Row],[Total Sales]]=0,0,Table1[[#This Row],[Profit]]/Table1[[#This Row],[Total Sales]])</f>
        <v>0.29545454545454547</v>
      </c>
      <c r="P185" s="3" t="str">
        <f>TEXT(Table1[[#This Row],[Order Date]],"mmmm")</f>
        <v>July</v>
      </c>
      <c r="Q185" s="6" t="str">
        <f t="shared" si="5"/>
        <v>الربع 3</v>
      </c>
    </row>
  </sheetData>
  <pageMargins left="0.7" right="0.7" top="0.75" bottom="0.75" header="0.3" footer="0.3"/>
  <pageSetup orientation="portrait"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5"/>
  <sheetViews>
    <sheetView tabSelected="1" workbookViewId="0"/>
  </sheetViews>
  <sheetFormatPr defaultRowHeight="14.4" x14ac:dyDescent="0.3"/>
  <cols>
    <col min="1" max="1" width="12.5546875" customWidth="1"/>
    <col min="2" max="2" width="16.44140625" bestFit="1" customWidth="1"/>
  </cols>
  <sheetData>
    <row r="3" spans="1:2" x14ac:dyDescent="0.3">
      <c r="A3" s="9" t="s">
        <v>401</v>
      </c>
      <c r="B3" t="s">
        <v>404</v>
      </c>
    </row>
    <row r="4" spans="1:2" x14ac:dyDescent="0.3">
      <c r="A4" s="10" t="s">
        <v>406</v>
      </c>
      <c r="B4" s="6">
        <v>20344</v>
      </c>
    </row>
    <row r="5" spans="1:2" x14ac:dyDescent="0.3">
      <c r="A5" s="10" t="s">
        <v>407</v>
      </c>
      <c r="B5" s="6">
        <v>25653</v>
      </c>
    </row>
    <row r="6" spans="1:2" x14ac:dyDescent="0.3">
      <c r="A6" s="10" t="s">
        <v>408</v>
      </c>
      <c r="B6" s="6">
        <v>35473</v>
      </c>
    </row>
    <row r="7" spans="1:2" x14ac:dyDescent="0.3">
      <c r="A7" s="10" t="s">
        <v>409</v>
      </c>
      <c r="B7" s="6">
        <v>32847</v>
      </c>
    </row>
    <row r="8" spans="1:2" x14ac:dyDescent="0.3">
      <c r="A8" s="10" t="s">
        <v>410</v>
      </c>
      <c r="B8" s="6">
        <v>50124</v>
      </c>
    </row>
    <row r="9" spans="1:2" x14ac:dyDescent="0.3">
      <c r="A9" s="10" t="s">
        <v>411</v>
      </c>
      <c r="B9" s="6">
        <v>26170</v>
      </c>
    </row>
    <row r="10" spans="1:2" x14ac:dyDescent="0.3">
      <c r="A10" s="10" t="s">
        <v>412</v>
      </c>
      <c r="B10" s="6">
        <v>17760</v>
      </c>
    </row>
    <row r="11" spans="1:2" x14ac:dyDescent="0.3">
      <c r="A11" s="10" t="s">
        <v>413</v>
      </c>
      <c r="B11" s="6">
        <v>320</v>
      </c>
    </row>
    <row r="12" spans="1:2" x14ac:dyDescent="0.3">
      <c r="A12" s="10" t="s">
        <v>414</v>
      </c>
      <c r="B12" s="6">
        <v>6240</v>
      </c>
    </row>
    <row r="13" spans="1:2" x14ac:dyDescent="0.3">
      <c r="A13" s="10" t="s">
        <v>415</v>
      </c>
      <c r="B13" s="6">
        <v>1100</v>
      </c>
    </row>
    <row r="14" spans="1:2" x14ac:dyDescent="0.3">
      <c r="A14" s="10" t="s">
        <v>416</v>
      </c>
      <c r="B14" s="6">
        <v>370</v>
      </c>
    </row>
    <row r="15" spans="1:2" x14ac:dyDescent="0.3">
      <c r="A15" s="10" t="s">
        <v>403</v>
      </c>
      <c r="B15" s="6">
        <v>216401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heetViews>
  <sheetFormatPr defaultRowHeight="14.4" x14ac:dyDescent="0.3"/>
  <cols>
    <col min="1" max="1" width="12.5546875" bestFit="1" customWidth="1"/>
    <col min="2" max="2" width="16.44140625" bestFit="1" customWidth="1"/>
    <col min="3" max="3" width="12.109375" customWidth="1"/>
    <col min="4" max="4" width="18.77734375" bestFit="1" customWidth="1"/>
  </cols>
  <sheetData>
    <row r="1" spans="1:4" x14ac:dyDescent="0.3">
      <c r="A1" s="9" t="s">
        <v>401</v>
      </c>
      <c r="B1" t="s">
        <v>404</v>
      </c>
      <c r="C1" t="s">
        <v>402</v>
      </c>
      <c r="D1" t="s">
        <v>421</v>
      </c>
    </row>
    <row r="2" spans="1:4" x14ac:dyDescent="0.3">
      <c r="A2" s="10" t="s">
        <v>31</v>
      </c>
      <c r="B2" s="6">
        <v>72330</v>
      </c>
      <c r="C2" s="6">
        <v>22165</v>
      </c>
      <c r="D2" s="3">
        <v>16.707588245386436</v>
      </c>
    </row>
    <row r="3" spans="1:4" x14ac:dyDescent="0.3">
      <c r="A3" s="10" t="s">
        <v>18</v>
      </c>
      <c r="B3" s="6">
        <v>71526</v>
      </c>
      <c r="C3" s="6">
        <v>22513</v>
      </c>
      <c r="D3" s="3">
        <v>17.803088780936392</v>
      </c>
    </row>
    <row r="4" spans="1:4" x14ac:dyDescent="0.3">
      <c r="A4" s="10" t="s">
        <v>39</v>
      </c>
      <c r="B4" s="6">
        <v>41860</v>
      </c>
      <c r="C4" s="6">
        <v>16944</v>
      </c>
      <c r="D4" s="3">
        <v>19.446851738193953</v>
      </c>
    </row>
    <row r="5" spans="1:4" x14ac:dyDescent="0.3">
      <c r="A5" s="10" t="s">
        <v>26</v>
      </c>
      <c r="B5" s="6">
        <v>30685</v>
      </c>
      <c r="C5" s="6">
        <v>13650</v>
      </c>
      <c r="D5" s="3">
        <v>20.846022867138732</v>
      </c>
    </row>
    <row r="6" spans="1:4" x14ac:dyDescent="0.3">
      <c r="A6" s="10" t="s">
        <v>403</v>
      </c>
      <c r="B6" s="6">
        <v>216401</v>
      </c>
      <c r="C6" s="6">
        <v>75272</v>
      </c>
      <c r="D6" s="3">
        <v>74.803551631655509</v>
      </c>
    </row>
  </sheetData>
  <sortState columnSort="1" ref="A1:C6">
    <sortCondition descending="1" ref="C1"/>
  </sortState>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workbookViewId="0"/>
  </sheetViews>
  <sheetFormatPr defaultRowHeight="14.4" x14ac:dyDescent="0.3"/>
  <cols>
    <col min="1" max="1" width="12.5546875" bestFit="1" customWidth="1"/>
    <col min="2" max="2" width="16.44140625" bestFit="1" customWidth="1"/>
    <col min="3" max="4" width="27.33203125" bestFit="1" customWidth="1"/>
    <col min="5" max="5" width="25.109375" bestFit="1" customWidth="1"/>
  </cols>
  <sheetData>
    <row r="1" spans="1:3" x14ac:dyDescent="0.3">
      <c r="A1" s="9" t="s">
        <v>401</v>
      </c>
      <c r="B1" t="s">
        <v>404</v>
      </c>
      <c r="C1" t="s">
        <v>418</v>
      </c>
    </row>
    <row r="2" spans="1:3" x14ac:dyDescent="0.3">
      <c r="A2" s="10" t="s">
        <v>25</v>
      </c>
      <c r="B2" s="6">
        <v>115180</v>
      </c>
      <c r="C2" s="6">
        <v>1251.9565217391305</v>
      </c>
    </row>
    <row r="3" spans="1:3" x14ac:dyDescent="0.3">
      <c r="A3" s="10" t="s">
        <v>17</v>
      </c>
      <c r="B3" s="6">
        <v>101221</v>
      </c>
      <c r="C3" s="6">
        <v>1100.2282608695652</v>
      </c>
    </row>
    <row r="4" spans="1:3" x14ac:dyDescent="0.3">
      <c r="A4" s="10" t="s">
        <v>403</v>
      </c>
      <c r="B4" s="6">
        <v>216401</v>
      </c>
      <c r="C4" s="6">
        <v>1176.0923913043478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workbookViewId="0"/>
  </sheetViews>
  <sheetFormatPr defaultRowHeight="14.4" x14ac:dyDescent="0.3"/>
  <cols>
    <col min="1" max="1" width="12.5546875" customWidth="1"/>
    <col min="2" max="2" width="16.44140625" bestFit="1" customWidth="1"/>
    <col min="3" max="3" width="22.6640625" bestFit="1" customWidth="1"/>
  </cols>
  <sheetData>
    <row r="1" spans="1:3" x14ac:dyDescent="0.3">
      <c r="A1" s="9" t="s">
        <v>401</v>
      </c>
      <c r="B1" t="s">
        <v>404</v>
      </c>
      <c r="C1" t="s">
        <v>417</v>
      </c>
    </row>
    <row r="2" spans="1:3" x14ac:dyDescent="0.3">
      <c r="A2" s="10" t="s">
        <v>15</v>
      </c>
      <c r="B2" s="6">
        <v>82551</v>
      </c>
      <c r="C2" s="6">
        <v>74</v>
      </c>
    </row>
    <row r="3" spans="1:3" x14ac:dyDescent="0.3">
      <c r="A3" s="10" t="s">
        <v>23</v>
      </c>
      <c r="B3" s="6">
        <v>74860</v>
      </c>
      <c r="C3" s="6">
        <v>55</v>
      </c>
    </row>
    <row r="4" spans="1:3" x14ac:dyDescent="0.3">
      <c r="A4" s="10" t="s">
        <v>30</v>
      </c>
      <c r="B4" s="6">
        <v>43410</v>
      </c>
      <c r="C4" s="6">
        <v>37</v>
      </c>
    </row>
    <row r="5" spans="1:3" x14ac:dyDescent="0.3">
      <c r="A5" s="10" t="s">
        <v>38</v>
      </c>
      <c r="B5" s="6">
        <v>15580</v>
      </c>
      <c r="C5" s="6">
        <v>18</v>
      </c>
    </row>
    <row r="6" spans="1:3" x14ac:dyDescent="0.3">
      <c r="A6" s="10" t="s">
        <v>403</v>
      </c>
      <c r="B6" s="6">
        <v>216401</v>
      </c>
      <c r="C6" s="6">
        <v>184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heetViews>
  <sheetFormatPr defaultRowHeight="14.4" x14ac:dyDescent="0.3"/>
  <cols>
    <col min="1" max="1" width="12.5546875" customWidth="1"/>
    <col min="2" max="2" width="16.44140625" customWidth="1"/>
    <col min="3" max="3" width="15.88671875" customWidth="1"/>
    <col min="4" max="4" width="34.6640625" customWidth="1"/>
    <col min="5" max="5" width="10.77734375" bestFit="1" customWidth="1"/>
  </cols>
  <sheetData>
    <row r="1" spans="1:4" x14ac:dyDescent="0.3">
      <c r="A1" s="9" t="s">
        <v>401</v>
      </c>
      <c r="B1" t="s">
        <v>404</v>
      </c>
      <c r="C1" t="s">
        <v>405</v>
      </c>
      <c r="D1" t="s">
        <v>419</v>
      </c>
    </row>
    <row r="2" spans="1:4" x14ac:dyDescent="0.3">
      <c r="A2" s="10" t="s">
        <v>24</v>
      </c>
      <c r="B2" s="6">
        <v>110940</v>
      </c>
      <c r="C2" s="6">
        <v>82</v>
      </c>
      <c r="D2" s="6">
        <v>1352.9268292682927</v>
      </c>
    </row>
    <row r="3" spans="1:4" x14ac:dyDescent="0.3">
      <c r="A3" s="10" t="s">
        <v>16</v>
      </c>
      <c r="B3" s="6">
        <v>90531</v>
      </c>
      <c r="C3" s="6">
        <v>92</v>
      </c>
      <c r="D3" s="6">
        <v>984.03260869565213</v>
      </c>
    </row>
    <row r="4" spans="1:4" x14ac:dyDescent="0.3">
      <c r="A4" s="10" t="s">
        <v>377</v>
      </c>
      <c r="B4" s="6">
        <v>14930</v>
      </c>
      <c r="C4" s="6">
        <v>10</v>
      </c>
      <c r="D4" s="6">
        <v>1493</v>
      </c>
    </row>
    <row r="5" spans="1:4" x14ac:dyDescent="0.3">
      <c r="A5" s="10" t="s">
        <v>403</v>
      </c>
      <c r="B5" s="6">
        <v>216401</v>
      </c>
      <c r="C5" s="6">
        <v>184</v>
      </c>
      <c r="D5" s="6">
        <v>1176.0923913043478</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C2:H3"/>
  <sheetViews>
    <sheetView showGridLines="0" workbookViewId="0"/>
  </sheetViews>
  <sheetFormatPr defaultRowHeight="14.4" x14ac:dyDescent="0.3"/>
  <cols>
    <col min="2" max="2" width="51.5546875" customWidth="1"/>
  </cols>
  <sheetData>
    <row r="2" spans="3:8" ht="23.4" customHeight="1" x14ac:dyDescent="0.4">
      <c r="C2" s="21" t="s">
        <v>420</v>
      </c>
      <c r="D2" s="22"/>
      <c r="E2" s="22"/>
      <c r="F2" s="22"/>
      <c r="G2" s="22"/>
      <c r="H2" s="22"/>
    </row>
    <row r="3" spans="3:8" x14ac:dyDescent="0.3">
      <c r="C3" s="23"/>
      <c r="D3" s="23"/>
      <c r="E3" s="23"/>
      <c r="F3" s="23"/>
      <c r="G3" s="23"/>
      <c r="H3" s="23"/>
    </row>
  </sheetData>
  <mergeCells count="2">
    <mergeCell ref="C2:H2"/>
    <mergeCell ref="C3:H3"/>
  </mergeCells>
  <pageMargins left="0.7" right="0.7" top="0.75" bottom="0.75" header="0.3" footer="0.3"/>
  <pageSetup scale="49" fitToHeight="0" orientation="landscape"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E1:P68"/>
  <sheetViews>
    <sheetView showGridLines="0" workbookViewId="0"/>
  </sheetViews>
  <sheetFormatPr defaultRowHeight="14.4" x14ac:dyDescent="0.3"/>
  <cols>
    <col min="13" max="13" width="2.88671875" customWidth="1"/>
    <col min="14" max="14" width="12.5546875" customWidth="1"/>
  </cols>
  <sheetData>
    <row r="1" spans="11:16" ht="23.4" x14ac:dyDescent="0.45">
      <c r="M1" s="11" t="s">
        <v>422</v>
      </c>
    </row>
    <row r="3" spans="11:16" ht="18" x14ac:dyDescent="0.35">
      <c r="K3" s="12" t="s">
        <v>423</v>
      </c>
    </row>
    <row r="5" spans="11:16" ht="21" x14ac:dyDescent="0.4">
      <c r="P5" s="17" t="s">
        <v>444</v>
      </c>
    </row>
    <row r="6" spans="11:16" x14ac:dyDescent="0.3">
      <c r="N6" s="13">
        <f>'البيانات النظيفة'!V4</f>
        <v>216401</v>
      </c>
      <c r="O6" s="14"/>
      <c r="P6" s="14" t="s">
        <v>424</v>
      </c>
    </row>
    <row r="7" spans="11:16" x14ac:dyDescent="0.3">
      <c r="N7" s="13">
        <f>'البيانات النظيفة'!V5</f>
        <v>75272</v>
      </c>
      <c r="O7" s="14"/>
      <c r="P7" s="14" t="s">
        <v>385</v>
      </c>
    </row>
    <row r="8" spans="11:16" x14ac:dyDescent="0.3">
      <c r="N8" s="13">
        <f>'البيانات النظيفة'!V6</f>
        <v>184</v>
      </c>
      <c r="O8" s="14"/>
      <c r="P8" s="14" t="s">
        <v>386</v>
      </c>
    </row>
    <row r="9" spans="11:16" x14ac:dyDescent="0.3">
      <c r="N9" s="13">
        <f>'البيانات النظيفة'!V9</f>
        <v>409.08695652173913</v>
      </c>
      <c r="O9" s="14"/>
      <c r="P9" s="14" t="s">
        <v>388</v>
      </c>
    </row>
    <row r="12" spans="11:16" ht="21" x14ac:dyDescent="0.4">
      <c r="P12" s="16" t="s">
        <v>425</v>
      </c>
    </row>
    <row r="13" spans="11:16" ht="18" x14ac:dyDescent="0.35">
      <c r="P13" s="15" t="s">
        <v>426</v>
      </c>
    </row>
    <row r="16" spans="11:16" x14ac:dyDescent="0.3">
      <c r="O16" t="s">
        <v>428</v>
      </c>
      <c r="P16" t="s">
        <v>427</v>
      </c>
    </row>
    <row r="17" spans="5:16" x14ac:dyDescent="0.3">
      <c r="O17" t="s">
        <v>429</v>
      </c>
      <c r="P17" t="s">
        <v>430</v>
      </c>
    </row>
    <row r="19" spans="5:16" ht="18" x14ac:dyDescent="0.35">
      <c r="P19" s="15" t="s">
        <v>431</v>
      </c>
    </row>
    <row r="21" spans="5:16" x14ac:dyDescent="0.3">
      <c r="O21" t="s">
        <v>433</v>
      </c>
      <c r="P21" t="s">
        <v>432</v>
      </c>
    </row>
    <row r="22" spans="5:16" x14ac:dyDescent="0.3">
      <c r="O22" t="s">
        <v>434</v>
      </c>
      <c r="P22" t="s">
        <v>430</v>
      </c>
    </row>
    <row r="24" spans="5:16" ht="18" x14ac:dyDescent="0.35">
      <c r="P24" s="15" t="s">
        <v>435</v>
      </c>
    </row>
    <row r="26" spans="5:16" x14ac:dyDescent="0.3">
      <c r="O26" t="s">
        <v>436</v>
      </c>
      <c r="P26" t="s">
        <v>432</v>
      </c>
    </row>
    <row r="27" spans="5:16" x14ac:dyDescent="0.3">
      <c r="E27" s="19"/>
      <c r="O27" t="s">
        <v>437</v>
      </c>
      <c r="P27" t="s">
        <v>430</v>
      </c>
    </row>
    <row r="29" spans="5:16" ht="18" x14ac:dyDescent="0.35">
      <c r="P29" s="15" t="s">
        <v>438</v>
      </c>
    </row>
    <row r="31" spans="5:16" x14ac:dyDescent="0.3">
      <c r="O31" t="s">
        <v>439</v>
      </c>
      <c r="P31" t="s">
        <v>432</v>
      </c>
    </row>
    <row r="32" spans="5:16" x14ac:dyDescent="0.3">
      <c r="O32" t="s">
        <v>440</v>
      </c>
      <c r="P32" t="s">
        <v>430</v>
      </c>
    </row>
    <row r="34" spans="15:16" ht="18" x14ac:dyDescent="0.35">
      <c r="P34" s="15" t="s">
        <v>441</v>
      </c>
    </row>
    <row r="36" spans="15:16" x14ac:dyDescent="0.3">
      <c r="O36" t="s">
        <v>442</v>
      </c>
      <c r="P36" t="s">
        <v>432</v>
      </c>
    </row>
    <row r="37" spans="15:16" x14ac:dyDescent="0.3">
      <c r="O37" t="s">
        <v>443</v>
      </c>
      <c r="P37" t="s">
        <v>430</v>
      </c>
    </row>
    <row r="39" spans="15:16" ht="21" x14ac:dyDescent="0.4">
      <c r="P39" s="16" t="s">
        <v>445</v>
      </c>
    </row>
    <row r="40" spans="15:16" ht="18" x14ac:dyDescent="0.35">
      <c r="O40" s="18"/>
      <c r="P40" s="15" t="s">
        <v>449</v>
      </c>
    </row>
    <row r="42" spans="15:16" x14ac:dyDescent="0.3">
      <c r="O42" t="s">
        <v>446</v>
      </c>
    </row>
    <row r="43" spans="15:16" x14ac:dyDescent="0.3">
      <c r="O43" t="s">
        <v>447</v>
      </c>
    </row>
    <row r="45" spans="15:16" ht="18" x14ac:dyDescent="0.35">
      <c r="P45" s="15" t="s">
        <v>448</v>
      </c>
    </row>
    <row r="47" spans="15:16" x14ac:dyDescent="0.3">
      <c r="O47" t="s">
        <v>450</v>
      </c>
    </row>
    <row r="48" spans="15:16" x14ac:dyDescent="0.3">
      <c r="O48" t="s">
        <v>451</v>
      </c>
    </row>
    <row r="50" spans="15:16" ht="18" x14ac:dyDescent="0.35">
      <c r="P50" s="15" t="s">
        <v>452</v>
      </c>
    </row>
    <row r="52" spans="15:16" x14ac:dyDescent="0.3">
      <c r="O52" t="s">
        <v>453</v>
      </c>
    </row>
    <row r="53" spans="15:16" x14ac:dyDescent="0.3">
      <c r="O53" t="s">
        <v>454</v>
      </c>
    </row>
    <row r="55" spans="15:16" ht="18" x14ac:dyDescent="0.35">
      <c r="P55" s="15" t="s">
        <v>455</v>
      </c>
    </row>
    <row r="57" spans="15:16" x14ac:dyDescent="0.3">
      <c r="O57" t="s">
        <v>456</v>
      </c>
    </row>
    <row r="59" spans="15:16" ht="18" x14ac:dyDescent="0.35">
      <c r="P59" s="15" t="s">
        <v>457</v>
      </c>
    </row>
    <row r="61" spans="15:16" x14ac:dyDescent="0.3">
      <c r="O61" t="s">
        <v>458</v>
      </c>
    </row>
    <row r="62" spans="15:16" x14ac:dyDescent="0.3">
      <c r="O62" t="s">
        <v>459</v>
      </c>
    </row>
    <row r="63" spans="15:16" x14ac:dyDescent="0.3">
      <c r="O63" t="s">
        <v>460</v>
      </c>
    </row>
    <row r="65" spans="16:16" ht="21" x14ac:dyDescent="0.4">
      <c r="P65" s="20" t="s">
        <v>461</v>
      </c>
    </row>
    <row r="67" spans="16:16" x14ac:dyDescent="0.3">
      <c r="P67" t="s">
        <v>462</v>
      </c>
    </row>
    <row r="68" spans="16:16" x14ac:dyDescent="0.3">
      <c r="P68" t="s">
        <v>463</v>
      </c>
    </row>
  </sheetData>
  <pageMargins left="0.7" right="0.7" top="0.75" bottom="0.75" header="0.3" footer="0.3"/>
  <pageSetup scale="55"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البيانات النظيفة</vt:lpstr>
      <vt:lpstr>المبيعات الشهرية</vt:lpstr>
      <vt:lpstr>الأداء حسب فئة المنتج</vt:lpstr>
      <vt:lpstr>مقارنة قنوات البيع</vt:lpstr>
      <vt:lpstr>تحليل المناطق</vt:lpstr>
      <vt:lpstr>نوع العميل وسلوكه</vt:lpstr>
      <vt:lpstr>لوحة التحكم</vt:lpstr>
      <vt:lpstr>الرؤى والتوصيات</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dc:creator>
  <cp:lastModifiedBy>Maha</cp:lastModifiedBy>
  <cp:lastPrinted>2026-10-05T17:15:29Z</cp:lastPrinted>
  <dcterms:created xsi:type="dcterms:W3CDTF">2026-09-30T21:18:45Z</dcterms:created>
  <dcterms:modified xsi:type="dcterms:W3CDTF">2026-10-05T17:52:48Z</dcterms:modified>
</cp:coreProperties>
</file>